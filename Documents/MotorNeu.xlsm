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027464\Documents\GitHub\GearboxAddon\Documents\"/>
    </mc:Choice>
  </mc:AlternateContent>
  <bookViews>
    <workbookView xWindow="29100" yWindow="0" windowWidth="20400" windowHeight="9945" activeTab="3"/>
  </bookViews>
  <sheets>
    <sheet name="Calculate from Values" sheetId="3" r:id="rId1"/>
    <sheet name="Sheet1" sheetId="1" r:id="rId2"/>
    <sheet name="Sheet3" sheetId="5" r:id="rId3"/>
    <sheet name="Sheet2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7" i="4" l="1"/>
  <c r="F68" i="4"/>
  <c r="F69" i="4"/>
  <c r="F70" i="4"/>
  <c r="F71" i="4"/>
  <c r="F72" i="4"/>
  <c r="F73" i="4"/>
  <c r="F74" i="4"/>
  <c r="F75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A11" i="4"/>
  <c r="F11" i="4" l="1"/>
  <c r="D5" i="4"/>
  <c r="E10" i="4"/>
  <c r="C2" i="5"/>
  <c r="C6" i="5"/>
  <c r="C10" i="5"/>
  <c r="C14" i="5"/>
  <c r="C18" i="5"/>
  <c r="C13" i="5"/>
  <c r="C3" i="5"/>
  <c r="C7" i="5"/>
  <c r="C11" i="5"/>
  <c r="C15" i="5"/>
  <c r="C19" i="5"/>
  <c r="C9" i="5"/>
  <c r="C17" i="5"/>
  <c r="C4" i="5"/>
  <c r="C8" i="5"/>
  <c r="C12" i="5"/>
  <c r="C16" i="5"/>
  <c r="C20" i="5"/>
  <c r="C5" i="5"/>
  <c r="C21" i="5"/>
  <c r="B12" i="5"/>
  <c r="B14" i="5"/>
  <c r="B16" i="5"/>
  <c r="B18" i="5"/>
  <c r="B20" i="5"/>
  <c r="B13" i="5"/>
  <c r="B15" i="5"/>
  <c r="B17" i="5"/>
  <c r="B19" i="5"/>
  <c r="B21" i="5"/>
  <c r="C1" i="5"/>
  <c r="B2" i="5"/>
  <c r="B6" i="5"/>
  <c r="B10" i="5"/>
  <c r="B3" i="5"/>
  <c r="B7" i="5"/>
  <c r="B11" i="5"/>
  <c r="B4" i="5"/>
  <c r="B8" i="5"/>
  <c r="B5" i="5"/>
  <c r="B9" i="5"/>
  <c r="B1" i="5"/>
  <c r="C11" i="4" l="1"/>
  <c r="C5" i="4"/>
  <c r="A10" i="4" l="1"/>
  <c r="A9" i="4"/>
  <c r="B56" i="4" s="1"/>
  <c r="B8" i="4"/>
  <c r="A8" i="4"/>
  <c r="L2" i="4"/>
  <c r="F66" i="4" s="1"/>
  <c r="K2" i="4"/>
  <c r="G4" i="3"/>
  <c r="B7" i="4"/>
  <c r="A7" i="4"/>
  <c r="I74" i="4" l="1"/>
  <c r="I57" i="4"/>
  <c r="I61" i="4"/>
  <c r="I65" i="4"/>
  <c r="I67" i="4"/>
  <c r="I68" i="4"/>
  <c r="I58" i="4"/>
  <c r="I62" i="4"/>
  <c r="I73" i="4"/>
  <c r="I60" i="4"/>
  <c r="I66" i="4"/>
  <c r="I69" i="4"/>
  <c r="I71" i="4"/>
  <c r="I72" i="4"/>
  <c r="I59" i="4"/>
  <c r="I63" i="4"/>
  <c r="I70" i="4"/>
  <c r="I75" i="4"/>
  <c r="I64" i="4"/>
  <c r="F10" i="4"/>
  <c r="B66" i="4"/>
  <c r="B71" i="4"/>
  <c r="B74" i="4"/>
  <c r="B73" i="4"/>
  <c r="B75" i="4"/>
  <c r="B67" i="4"/>
  <c r="B70" i="4"/>
  <c r="B72" i="4"/>
  <c r="B68" i="4"/>
  <c r="B69" i="4"/>
  <c r="B60" i="4"/>
  <c r="B58" i="4"/>
  <c r="B63" i="4"/>
  <c r="B65" i="4"/>
  <c r="B59" i="4"/>
  <c r="B62" i="4"/>
  <c r="B61" i="4"/>
  <c r="B64" i="4"/>
  <c r="B57" i="4"/>
  <c r="I51" i="4"/>
  <c r="I55" i="4"/>
  <c r="I54" i="4"/>
  <c r="I52" i="4"/>
  <c r="I56" i="4"/>
  <c r="I53" i="4"/>
  <c r="B9" i="4"/>
  <c r="F65" i="4"/>
  <c r="F63" i="4"/>
  <c r="F64" i="4"/>
  <c r="B10" i="4"/>
  <c r="E9" i="4" s="1"/>
  <c r="F62" i="4"/>
  <c r="D10" i="4"/>
  <c r="D9" i="4"/>
  <c r="F7" i="4"/>
  <c r="E6" i="4"/>
  <c r="E7" i="4"/>
  <c r="C9" i="4"/>
  <c r="E8" i="4"/>
  <c r="C10" i="4"/>
  <c r="B15" i="4"/>
  <c r="B19" i="4"/>
  <c r="B23" i="4"/>
  <c r="B27" i="4"/>
  <c r="B31" i="4"/>
  <c r="B35" i="4"/>
  <c r="B39" i="4"/>
  <c r="B43" i="4"/>
  <c r="B47" i="4"/>
  <c r="B51" i="4"/>
  <c r="B55" i="4"/>
  <c r="B33" i="4"/>
  <c r="B45" i="4"/>
  <c r="B18" i="4"/>
  <c r="B30" i="4"/>
  <c r="B42" i="4"/>
  <c r="B54" i="4"/>
  <c r="B16" i="4"/>
  <c r="B20" i="4"/>
  <c r="B24" i="4"/>
  <c r="B28" i="4"/>
  <c r="B32" i="4"/>
  <c r="B36" i="4"/>
  <c r="B40" i="4"/>
  <c r="B44" i="4"/>
  <c r="B48" i="4"/>
  <c r="B52" i="4"/>
  <c r="B29" i="4"/>
  <c r="B41" i="4"/>
  <c r="B53" i="4"/>
  <c r="B26" i="4"/>
  <c r="B38" i="4"/>
  <c r="B46" i="4"/>
  <c r="B17" i="4"/>
  <c r="B21" i="4"/>
  <c r="B25" i="4"/>
  <c r="B37" i="4"/>
  <c r="B49" i="4"/>
  <c r="B22" i="4"/>
  <c r="B34" i="4"/>
  <c r="B50" i="4"/>
  <c r="C7" i="4"/>
  <c r="C8" i="4"/>
  <c r="B6" i="4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W4" i="3"/>
  <c r="D72" i="4" l="1"/>
  <c r="E72" i="4" s="1"/>
  <c r="C72" i="4"/>
  <c r="C70" i="4"/>
  <c r="D70" i="4"/>
  <c r="E70" i="4" s="1"/>
  <c r="C74" i="4"/>
  <c r="D74" i="4"/>
  <c r="E74" i="4" s="1"/>
  <c r="C73" i="4"/>
  <c r="D73" i="4"/>
  <c r="E73" i="4" s="1"/>
  <c r="D69" i="4"/>
  <c r="E69" i="4" s="1"/>
  <c r="C69" i="4"/>
  <c r="C67" i="4"/>
  <c r="D67" i="4"/>
  <c r="E67" i="4" s="1"/>
  <c r="C71" i="4"/>
  <c r="D71" i="4"/>
  <c r="E71" i="4" s="1"/>
  <c r="D68" i="4"/>
  <c r="E68" i="4" s="1"/>
  <c r="C68" i="4"/>
  <c r="C75" i="4"/>
  <c r="D75" i="4"/>
  <c r="E75" i="4" s="1"/>
  <c r="C66" i="4"/>
  <c r="D66" i="4"/>
  <c r="E66" i="4" s="1"/>
  <c r="F8" i="4"/>
  <c r="D11" i="4"/>
  <c r="F9" i="4"/>
  <c r="F5" i="4"/>
  <c r="D6" i="4"/>
  <c r="D7" i="4"/>
  <c r="C6" i="4"/>
  <c r="E5" i="4"/>
  <c r="C38" i="4"/>
  <c r="D38" i="4"/>
  <c r="C40" i="4"/>
  <c r="D40" i="4"/>
  <c r="E40" i="4" s="1"/>
  <c r="D54" i="4"/>
  <c r="C54" i="4"/>
  <c r="D27" i="4"/>
  <c r="C27" i="4"/>
  <c r="C50" i="4"/>
  <c r="D50" i="4"/>
  <c r="C49" i="4"/>
  <c r="D49" i="4"/>
  <c r="E49" i="4" s="1"/>
  <c r="C17" i="4"/>
  <c r="D17" i="4"/>
  <c r="C26" i="4"/>
  <c r="D26" i="4"/>
  <c r="E26" i="4" s="1"/>
  <c r="C29" i="4"/>
  <c r="D29" i="4"/>
  <c r="C52" i="4"/>
  <c r="D52" i="4"/>
  <c r="E52" i="4" s="1"/>
  <c r="C36" i="4"/>
  <c r="D36" i="4"/>
  <c r="C20" i="4"/>
  <c r="D20" i="4"/>
  <c r="E20" i="4" s="1"/>
  <c r="D42" i="4"/>
  <c r="C42" i="4"/>
  <c r="C45" i="4"/>
  <c r="D45" i="4"/>
  <c r="E45" i="4" s="1"/>
  <c r="D55" i="4"/>
  <c r="C55" i="4"/>
  <c r="D39" i="4"/>
  <c r="C39" i="4"/>
  <c r="D23" i="4"/>
  <c r="C23" i="4"/>
  <c r="C21" i="4"/>
  <c r="D21" i="4"/>
  <c r="E21" i="4" s="1"/>
  <c r="C56" i="4"/>
  <c r="D56" i="4"/>
  <c r="C57" i="4"/>
  <c r="D57" i="4"/>
  <c r="E57" i="4" s="1"/>
  <c r="D43" i="4"/>
  <c r="C43" i="4"/>
  <c r="D34" i="4"/>
  <c r="C34" i="4"/>
  <c r="C37" i="4"/>
  <c r="D37" i="4"/>
  <c r="D58" i="4"/>
  <c r="C58" i="4"/>
  <c r="C65" i="4"/>
  <c r="D65" i="4"/>
  <c r="E65" i="4" s="1"/>
  <c r="C64" i="4"/>
  <c r="D64" i="4"/>
  <c r="E64" i="4" s="1"/>
  <c r="C48" i="4"/>
  <c r="D48" i="4"/>
  <c r="C32" i="4"/>
  <c r="D32" i="4"/>
  <c r="E32" i="4" s="1"/>
  <c r="C16" i="4"/>
  <c r="D16" i="4"/>
  <c r="D30" i="4"/>
  <c r="C30" i="4"/>
  <c r="C33" i="4"/>
  <c r="D33" i="4"/>
  <c r="D51" i="4"/>
  <c r="C51" i="4"/>
  <c r="D35" i="4"/>
  <c r="C35" i="4"/>
  <c r="D19" i="4"/>
  <c r="C19" i="4"/>
  <c r="C61" i="4"/>
  <c r="D61" i="4"/>
  <c r="C41" i="4"/>
  <c r="D41" i="4"/>
  <c r="E41" i="4" s="1"/>
  <c r="C24" i="4"/>
  <c r="D24" i="4"/>
  <c r="D59" i="4"/>
  <c r="C59" i="4"/>
  <c r="D22" i="4"/>
  <c r="C22" i="4"/>
  <c r="C25" i="4"/>
  <c r="D25" i="4"/>
  <c r="E25" i="4" s="1"/>
  <c r="D46" i="4"/>
  <c r="C46" i="4"/>
  <c r="C53" i="4"/>
  <c r="D53" i="4"/>
  <c r="E53" i="4" s="1"/>
  <c r="C60" i="4"/>
  <c r="D60" i="4"/>
  <c r="C44" i="4"/>
  <c r="D44" i="4"/>
  <c r="E44" i="4" s="1"/>
  <c r="C28" i="4"/>
  <c r="D28" i="4"/>
  <c r="C62" i="4"/>
  <c r="D62" i="4"/>
  <c r="E62" i="4" s="1"/>
  <c r="C18" i="4"/>
  <c r="D18" i="4"/>
  <c r="D63" i="4"/>
  <c r="C63" i="4"/>
  <c r="D47" i="4"/>
  <c r="C47" i="4"/>
  <c r="D31" i="4"/>
  <c r="C31" i="4"/>
  <c r="D15" i="4"/>
  <c r="C15" i="4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X7" i="3"/>
  <c r="W7" i="3"/>
  <c r="H72" i="4"/>
  <c r="H69" i="4"/>
  <c r="H73" i="4"/>
  <c r="H67" i="4"/>
  <c r="H66" i="4"/>
  <c r="H74" i="4"/>
  <c r="H71" i="4"/>
  <c r="H75" i="4"/>
  <c r="H68" i="4"/>
  <c r="H70" i="4"/>
  <c r="H49" i="4"/>
  <c r="H53" i="4"/>
  <c r="H52" i="4"/>
  <c r="H44" i="4"/>
  <c r="H45" i="4"/>
  <c r="H62" i="4"/>
  <c r="H65" i="4"/>
  <c r="H57" i="4"/>
  <c r="H64" i="4"/>
  <c r="H32" i="4"/>
  <c r="H25" i="4"/>
  <c r="H40" i="4"/>
  <c r="H26" i="4"/>
  <c r="H20" i="4"/>
  <c r="H21" i="4"/>
  <c r="H41" i="4"/>
  <c r="G70" i="4" l="1"/>
  <c r="G68" i="4"/>
  <c r="G75" i="4"/>
  <c r="G71" i="4"/>
  <c r="G74" i="4"/>
  <c r="G66" i="4"/>
  <c r="G67" i="4"/>
  <c r="G73" i="4"/>
  <c r="G69" i="4"/>
  <c r="G72" i="4"/>
  <c r="E18" i="4"/>
  <c r="E28" i="4"/>
  <c r="E60" i="4"/>
  <c r="E24" i="4"/>
  <c r="E61" i="4"/>
  <c r="E33" i="4"/>
  <c r="E16" i="4"/>
  <c r="E48" i="4"/>
  <c r="E37" i="4"/>
  <c r="E56" i="4"/>
  <c r="E36" i="4"/>
  <c r="E29" i="4"/>
  <c r="E17" i="4"/>
  <c r="E50" i="4"/>
  <c r="E38" i="4"/>
  <c r="E51" i="4"/>
  <c r="E58" i="4"/>
  <c r="E34" i="4"/>
  <c r="E39" i="4"/>
  <c r="E27" i="4"/>
  <c r="E31" i="4"/>
  <c r="E59" i="4"/>
  <c r="E63" i="4"/>
  <c r="E19" i="4"/>
  <c r="E30" i="4"/>
  <c r="E15" i="4"/>
  <c r="E47" i="4"/>
  <c r="E46" i="4"/>
  <c r="E22" i="4"/>
  <c r="E35" i="4"/>
  <c r="E43" i="4"/>
  <c r="E23" i="4"/>
  <c r="E55" i="4"/>
  <c r="E42" i="4"/>
  <c r="E54" i="4"/>
  <c r="G65" i="4"/>
  <c r="J2" i="3"/>
  <c r="F2" i="3"/>
  <c r="F60" i="4"/>
  <c r="F61" i="4"/>
  <c r="H60" i="4"/>
  <c r="F16" i="4"/>
  <c r="H16" i="4"/>
  <c r="H36" i="4"/>
  <c r="H38" i="4"/>
  <c r="F33" i="4"/>
  <c r="H33" i="4"/>
  <c r="H24" i="4"/>
  <c r="F48" i="4"/>
  <c r="H48" i="4"/>
  <c r="H29" i="4"/>
  <c r="H56" i="4"/>
  <c r="F59" i="4"/>
  <c r="H18" i="4"/>
  <c r="H61" i="4"/>
  <c r="F37" i="4"/>
  <c r="H37" i="4"/>
  <c r="H17" i="4"/>
  <c r="F58" i="4"/>
  <c r="H28" i="4"/>
  <c r="H50" i="4"/>
  <c r="H51" i="4"/>
  <c r="H27" i="4"/>
  <c r="H19" i="4"/>
  <c r="H46" i="4"/>
  <c r="H23" i="4"/>
  <c r="H22" i="4"/>
  <c r="H34" i="4"/>
  <c r="H15" i="4"/>
  <c r="H39" i="4"/>
  <c r="H47" i="4"/>
  <c r="H54" i="4"/>
  <c r="H58" i="4"/>
  <c r="H31" i="4"/>
  <c r="H30" i="4"/>
  <c r="H55" i="4"/>
  <c r="H59" i="4"/>
  <c r="H35" i="4"/>
  <c r="H42" i="4"/>
  <c r="H63" i="4"/>
  <c r="H43" i="4"/>
  <c r="F18" i="4"/>
  <c r="F28" i="4"/>
  <c r="F44" i="4"/>
  <c r="F32" i="4"/>
  <c r="F20" i="4"/>
  <c r="F40" i="4"/>
  <c r="F29" i="4"/>
  <c r="F31" i="4"/>
  <c r="F30" i="4"/>
  <c r="F27" i="4"/>
  <c r="F22" i="4"/>
  <c r="F55" i="4"/>
  <c r="F38" i="4"/>
  <c r="F46" i="4"/>
  <c r="F53" i="4"/>
  <c r="F57" i="4"/>
  <c r="F52" i="4"/>
  <c r="F24" i="4"/>
  <c r="F17" i="4"/>
  <c r="F15" i="4"/>
  <c r="F35" i="4"/>
  <c r="F42" i="4"/>
  <c r="F45" i="4"/>
  <c r="F49" i="4"/>
  <c r="F51" i="4"/>
  <c r="F23" i="4"/>
  <c r="F25" i="4"/>
  <c r="F21" i="4"/>
  <c r="F26" i="4"/>
  <c r="F56" i="4"/>
  <c r="F50" i="4"/>
  <c r="F19" i="4"/>
  <c r="F34" i="4"/>
  <c r="F47" i="4"/>
  <c r="F43" i="4"/>
  <c r="F54" i="4"/>
  <c r="F41" i="4"/>
  <c r="F36" i="4"/>
  <c r="F39" i="4"/>
  <c r="G37" i="4" l="1"/>
  <c r="G48" i="4"/>
  <c r="G33" i="4"/>
  <c r="G16" i="4"/>
  <c r="G60" i="4"/>
  <c r="G28" i="4"/>
  <c r="G18" i="4"/>
  <c r="G23" i="4"/>
  <c r="G39" i="4"/>
  <c r="G38" i="4"/>
  <c r="G49" i="4"/>
  <c r="G41" i="4"/>
  <c r="G43" i="4"/>
  <c r="G34" i="4"/>
  <c r="G50" i="4"/>
  <c r="G21" i="4"/>
  <c r="G62" i="4"/>
  <c r="G42" i="4"/>
  <c r="G35" i="4"/>
  <c r="G15" i="4"/>
  <c r="G58" i="4"/>
  <c r="G59" i="4"/>
  <c r="G17" i="4"/>
  <c r="G24" i="4"/>
  <c r="G52" i="4"/>
  <c r="G57" i="4"/>
  <c r="G53" i="4"/>
  <c r="G61" i="4"/>
  <c r="G46" i="4"/>
  <c r="G51" i="4"/>
  <c r="G36" i="4"/>
  <c r="G45" i="4"/>
  <c r="G64" i="4"/>
  <c r="G54" i="4"/>
  <c r="G47" i="4"/>
  <c r="G19" i="4"/>
  <c r="G56" i="4"/>
  <c r="G26" i="4"/>
  <c r="G25" i="4"/>
  <c r="G55" i="4"/>
  <c r="G22" i="4"/>
  <c r="G27" i="4"/>
  <c r="G30" i="4"/>
  <c r="G31" i="4"/>
  <c r="G29" i="4"/>
  <c r="G40" i="4"/>
  <c r="G20" i="4"/>
  <c r="G32" i="4"/>
  <c r="G44" i="4"/>
  <c r="G63" i="4"/>
  <c r="L4" i="3"/>
  <c r="K4" i="3"/>
  <c r="T2" i="3" l="1"/>
  <c r="S2" i="3"/>
  <c r="J58" i="3" l="1"/>
  <c r="J62" i="3"/>
  <c r="J55" i="3"/>
  <c r="J59" i="3"/>
  <c r="J56" i="3"/>
  <c r="J60" i="3"/>
  <c r="J57" i="3"/>
  <c r="J61" i="3"/>
  <c r="U2" i="3"/>
  <c r="M4" i="3"/>
  <c r="J44" i="3"/>
  <c r="J48" i="3"/>
  <c r="J52" i="3"/>
  <c r="J45" i="3"/>
  <c r="J49" i="3"/>
  <c r="J53" i="3"/>
  <c r="J46" i="3"/>
  <c r="J50" i="3"/>
  <c r="J54" i="3"/>
  <c r="J47" i="3"/>
  <c r="J51" i="3"/>
  <c r="J43" i="3"/>
  <c r="J9" i="3"/>
  <c r="K9" i="3" s="1"/>
  <c r="J41" i="3"/>
  <c r="J37" i="3"/>
  <c r="J29" i="3"/>
  <c r="K29" i="3" s="1"/>
  <c r="J20" i="3"/>
  <c r="K20" i="3" s="1"/>
  <c r="J8" i="3"/>
  <c r="K8" i="3" s="1"/>
  <c r="J40" i="3"/>
  <c r="J36" i="3"/>
  <c r="J32" i="3"/>
  <c r="J28" i="3"/>
  <c r="K28" i="3" s="1"/>
  <c r="J23" i="3"/>
  <c r="K23" i="3" s="1"/>
  <c r="J19" i="3"/>
  <c r="K19" i="3" s="1"/>
  <c r="J15" i="3"/>
  <c r="K15" i="3" s="1"/>
  <c r="J11" i="3"/>
  <c r="K11" i="3" s="1"/>
  <c r="J7" i="3"/>
  <c r="J39" i="3"/>
  <c r="J35" i="3"/>
  <c r="J31" i="3"/>
  <c r="J27" i="3"/>
  <c r="K27" i="3" s="1"/>
  <c r="J22" i="3"/>
  <c r="K22" i="3" s="1"/>
  <c r="J18" i="3"/>
  <c r="K18" i="3" s="1"/>
  <c r="J14" i="3"/>
  <c r="K14" i="3" s="1"/>
  <c r="J10" i="3"/>
  <c r="K10" i="3" s="1"/>
  <c r="J25" i="3"/>
  <c r="K25" i="3" s="1"/>
  <c r="J33" i="3"/>
  <c r="J24" i="3"/>
  <c r="K24" i="3" s="1"/>
  <c r="J16" i="3"/>
  <c r="K16" i="3" s="1"/>
  <c r="J12" i="3"/>
  <c r="K12" i="3" s="1"/>
  <c r="J42" i="3"/>
  <c r="J38" i="3"/>
  <c r="J34" i="3"/>
  <c r="J30" i="3"/>
  <c r="J26" i="3"/>
  <c r="K26" i="3" s="1"/>
  <c r="J21" i="3"/>
  <c r="K21" i="3" s="1"/>
  <c r="J17" i="3"/>
  <c r="K17" i="3" s="1"/>
  <c r="J13" i="3"/>
  <c r="K13" i="3" s="1"/>
  <c r="V2" i="3"/>
  <c r="L60" i="3" l="1"/>
  <c r="L56" i="3"/>
  <c r="L55" i="3"/>
  <c r="L61" i="3"/>
  <c r="L57" i="3"/>
  <c r="L59" i="3"/>
  <c r="L58" i="3"/>
  <c r="L62" i="3"/>
  <c r="L54" i="3"/>
  <c r="L53" i="3"/>
  <c r="Y2" i="3"/>
  <c r="C2" i="3" s="1"/>
  <c r="X54" i="3" l="1"/>
  <c r="X60" i="3"/>
  <c r="X9" i="3"/>
  <c r="X15" i="3"/>
  <c r="X21" i="3"/>
  <c r="X29" i="3"/>
  <c r="X31" i="3"/>
  <c r="X33" i="3"/>
  <c r="X35" i="3"/>
  <c r="X37" i="3"/>
  <c r="X39" i="3"/>
  <c r="X41" i="3"/>
  <c r="X43" i="3"/>
  <c r="X45" i="3"/>
  <c r="X47" i="3"/>
  <c r="X49" i="3"/>
  <c r="X51" i="3"/>
  <c r="X53" i="3"/>
  <c r="X55" i="3"/>
  <c r="X57" i="3"/>
  <c r="X59" i="3"/>
  <c r="X61" i="3"/>
  <c r="X8" i="3"/>
  <c r="X10" i="3"/>
  <c r="X12" i="3"/>
  <c r="X14" i="3"/>
  <c r="X16" i="3"/>
  <c r="X18" i="3"/>
  <c r="X20" i="3"/>
  <c r="X22" i="3"/>
  <c r="X24" i="3"/>
  <c r="X26" i="3"/>
  <c r="X28" i="3"/>
  <c r="X30" i="3"/>
  <c r="X34" i="3"/>
  <c r="X38" i="3"/>
  <c r="X42" i="3"/>
  <c r="X46" i="3"/>
  <c r="X50" i="3"/>
  <c r="X56" i="3"/>
  <c r="X62" i="3"/>
  <c r="X13" i="3"/>
  <c r="X17" i="3"/>
  <c r="X23" i="3"/>
  <c r="X27" i="3"/>
  <c r="X32" i="3"/>
  <c r="X36" i="3"/>
  <c r="X40" i="3"/>
  <c r="X44" i="3"/>
  <c r="X48" i="3"/>
  <c r="X52" i="3"/>
  <c r="X58" i="3"/>
  <c r="X11" i="3"/>
  <c r="X19" i="3"/>
  <c r="X25" i="3"/>
  <c r="J4" i="3"/>
  <c r="V4" i="3" l="1"/>
  <c r="K7" i="3" s="1"/>
  <c r="O4" i="3"/>
  <c r="P4" i="3"/>
  <c r="H4" i="3" s="1"/>
  <c r="L7" i="3" l="1"/>
  <c r="V59" i="3"/>
  <c r="D59" i="3" s="1"/>
  <c r="V58" i="3"/>
  <c r="V57" i="3"/>
  <c r="V60" i="3"/>
  <c r="V55" i="3"/>
  <c r="D55" i="3" s="1"/>
  <c r="G55" i="3" s="1"/>
  <c r="I55" i="3" s="1"/>
  <c r="V62" i="3"/>
  <c r="V61" i="3"/>
  <c r="V56" i="3"/>
  <c r="G59" i="3"/>
  <c r="I59" i="3" s="1"/>
  <c r="V44" i="3"/>
  <c r="D44" i="3" s="1"/>
  <c r="V48" i="3"/>
  <c r="D48" i="3" s="1"/>
  <c r="V52" i="3"/>
  <c r="V51" i="3"/>
  <c r="D51" i="3" s="1"/>
  <c r="V45" i="3"/>
  <c r="D45" i="3" s="1"/>
  <c r="V49" i="3"/>
  <c r="D49" i="3" s="1"/>
  <c r="V53" i="3"/>
  <c r="V43" i="3"/>
  <c r="D43" i="3" s="1"/>
  <c r="V46" i="3"/>
  <c r="D46" i="3" s="1"/>
  <c r="V50" i="3"/>
  <c r="D50" i="3" s="1"/>
  <c r="V54" i="3"/>
  <c r="V47" i="3"/>
  <c r="D47" i="3" s="1"/>
  <c r="R4" i="3"/>
  <c r="V9" i="3"/>
  <c r="V13" i="3"/>
  <c r="V17" i="3"/>
  <c r="V21" i="3"/>
  <c r="V25" i="3"/>
  <c r="V29" i="3"/>
  <c r="D29" i="3" s="1"/>
  <c r="V33" i="3"/>
  <c r="D33" i="3" s="1"/>
  <c r="V37" i="3"/>
  <c r="D37" i="3" s="1"/>
  <c r="V41" i="3"/>
  <c r="D41" i="3" s="1"/>
  <c r="V14" i="3"/>
  <c r="V22" i="3"/>
  <c r="V30" i="3"/>
  <c r="D30" i="3" s="1"/>
  <c r="V38" i="3"/>
  <c r="D38" i="3" s="1"/>
  <c r="V7" i="3"/>
  <c r="V11" i="3"/>
  <c r="V15" i="3"/>
  <c r="V19" i="3"/>
  <c r="V23" i="3"/>
  <c r="V27" i="3"/>
  <c r="D27" i="3" s="1"/>
  <c r="V31" i="3"/>
  <c r="D31" i="3" s="1"/>
  <c r="V35" i="3"/>
  <c r="D35" i="3" s="1"/>
  <c r="V39" i="3"/>
  <c r="D39" i="3" s="1"/>
  <c r="V8" i="3"/>
  <c r="V12" i="3"/>
  <c r="V16" i="3"/>
  <c r="V20" i="3"/>
  <c r="V24" i="3"/>
  <c r="V28" i="3"/>
  <c r="D28" i="3" s="1"/>
  <c r="V32" i="3"/>
  <c r="D32" i="3" s="1"/>
  <c r="V36" i="3"/>
  <c r="D36" i="3" s="1"/>
  <c r="V40" i="3"/>
  <c r="D40" i="3" s="1"/>
  <c r="V10" i="3"/>
  <c r="V18" i="3"/>
  <c r="V26" i="3"/>
  <c r="D26" i="3" s="1"/>
  <c r="V34" i="3"/>
  <c r="D34" i="3" s="1"/>
  <c r="V42" i="3"/>
  <c r="D42" i="3" s="1"/>
  <c r="Q4" i="3"/>
  <c r="S4" i="3"/>
  <c r="D61" i="3" l="1"/>
  <c r="G61" i="3" s="1"/>
  <c r="I61" i="3" s="1"/>
  <c r="D62" i="3"/>
  <c r="G62" i="3" s="1"/>
  <c r="I62" i="3" s="1"/>
  <c r="D58" i="3"/>
  <c r="G58" i="3" s="1"/>
  <c r="I58" i="3" s="1"/>
  <c r="D57" i="3"/>
  <c r="G57" i="3" s="1"/>
  <c r="I57" i="3" s="1"/>
  <c r="D54" i="3"/>
  <c r="G54" i="3" s="1"/>
  <c r="I54" i="3" s="1"/>
  <c r="D53" i="3"/>
  <c r="G53" i="3" s="1"/>
  <c r="I53" i="3" s="1"/>
  <c r="D52" i="3"/>
  <c r="G52" i="3" s="1"/>
  <c r="I52" i="3" s="1"/>
  <c r="D56" i="3"/>
  <c r="G56" i="3" s="1"/>
  <c r="I56" i="3" s="1"/>
  <c r="D60" i="3"/>
  <c r="G60" i="3" s="1"/>
  <c r="I60" i="3" s="1"/>
  <c r="U60" i="3"/>
  <c r="U56" i="3"/>
  <c r="U57" i="3"/>
  <c r="U58" i="3"/>
  <c r="U59" i="3"/>
  <c r="U62" i="3"/>
  <c r="U61" i="3"/>
  <c r="U55" i="3"/>
  <c r="T61" i="3"/>
  <c r="T56" i="3"/>
  <c r="T58" i="3"/>
  <c r="T62" i="3"/>
  <c r="T57" i="3"/>
  <c r="T60" i="3"/>
  <c r="T59" i="3"/>
  <c r="T55" i="3"/>
  <c r="U46" i="3"/>
  <c r="U51" i="3"/>
  <c r="G51" i="3" s="1"/>
  <c r="I51" i="3" s="1"/>
  <c r="U48" i="3"/>
  <c r="U50" i="3"/>
  <c r="U45" i="3"/>
  <c r="U52" i="3"/>
  <c r="U43" i="3"/>
  <c r="U54" i="3"/>
  <c r="U53" i="3"/>
  <c r="U49" i="3"/>
  <c r="U47" i="3"/>
  <c r="U44" i="3"/>
  <c r="T45" i="3"/>
  <c r="G45" i="3" s="1"/>
  <c r="I45" i="3" s="1"/>
  <c r="T49" i="3"/>
  <c r="G49" i="3" s="1"/>
  <c r="I49" i="3" s="1"/>
  <c r="T53" i="3"/>
  <c r="T43" i="3"/>
  <c r="G43" i="3" s="1"/>
  <c r="I43" i="3" s="1"/>
  <c r="T52" i="3"/>
  <c r="T46" i="3"/>
  <c r="G46" i="3" s="1"/>
  <c r="I46" i="3" s="1"/>
  <c r="T50" i="3"/>
  <c r="T54" i="3"/>
  <c r="T44" i="3"/>
  <c r="T47" i="3"/>
  <c r="T51" i="3"/>
  <c r="T48" i="3"/>
  <c r="G48" i="3" s="1"/>
  <c r="I48" i="3" s="1"/>
  <c r="U7" i="3"/>
  <c r="U23" i="3"/>
  <c r="U39" i="3"/>
  <c r="U20" i="3"/>
  <c r="U36" i="3"/>
  <c r="U17" i="3"/>
  <c r="U33" i="3"/>
  <c r="U26" i="3"/>
  <c r="U30" i="3"/>
  <c r="U11" i="3"/>
  <c r="U27" i="3"/>
  <c r="U8" i="3"/>
  <c r="U24" i="3"/>
  <c r="U40" i="3"/>
  <c r="U21" i="3"/>
  <c r="U37" i="3"/>
  <c r="U42" i="3"/>
  <c r="U38" i="3"/>
  <c r="U19" i="3"/>
  <c r="U16" i="3"/>
  <c r="U13" i="3"/>
  <c r="U10" i="3"/>
  <c r="U34" i="3"/>
  <c r="U15" i="3"/>
  <c r="U31" i="3"/>
  <c r="U12" i="3"/>
  <c r="U28" i="3"/>
  <c r="U9" i="3"/>
  <c r="U25" i="3"/>
  <c r="D25" i="3" s="1"/>
  <c r="U41" i="3"/>
  <c r="U22" i="3"/>
  <c r="U18" i="3"/>
  <c r="U35" i="3"/>
  <c r="U32" i="3"/>
  <c r="U29" i="3"/>
  <c r="U14" i="3"/>
  <c r="T7" i="3"/>
  <c r="T11" i="3"/>
  <c r="T15" i="3"/>
  <c r="T19" i="3"/>
  <c r="T23" i="3"/>
  <c r="T27" i="3"/>
  <c r="T31" i="3"/>
  <c r="T35" i="3"/>
  <c r="G35" i="3" s="1"/>
  <c r="I35" i="3" s="1"/>
  <c r="T39" i="3"/>
  <c r="T8" i="3"/>
  <c r="T12" i="3"/>
  <c r="T16" i="3"/>
  <c r="D16" i="3" s="1"/>
  <c r="T20" i="3"/>
  <c r="D20" i="3" s="1"/>
  <c r="T24" i="3"/>
  <c r="T28" i="3"/>
  <c r="T32" i="3"/>
  <c r="T36" i="3"/>
  <c r="G36" i="3" s="1"/>
  <c r="I36" i="3" s="1"/>
  <c r="T40" i="3"/>
  <c r="G40" i="3" s="1"/>
  <c r="I40" i="3" s="1"/>
  <c r="T9" i="3"/>
  <c r="T13" i="3"/>
  <c r="T17" i="3"/>
  <c r="D17" i="3" s="1"/>
  <c r="T21" i="3"/>
  <c r="T25" i="3"/>
  <c r="T29" i="3"/>
  <c r="T33" i="3"/>
  <c r="T37" i="3"/>
  <c r="T41" i="3"/>
  <c r="G41" i="3" s="1"/>
  <c r="I41" i="3" s="1"/>
  <c r="T10" i="3"/>
  <c r="T26" i="3"/>
  <c r="T42" i="3"/>
  <c r="G42" i="3" s="1"/>
  <c r="I42" i="3" s="1"/>
  <c r="T38" i="3"/>
  <c r="T14" i="3"/>
  <c r="T30" i="3"/>
  <c r="T18" i="3"/>
  <c r="D18" i="3" s="1"/>
  <c r="T34" i="3"/>
  <c r="G34" i="3" s="1"/>
  <c r="I34" i="3" s="1"/>
  <c r="T22" i="3"/>
  <c r="D21" i="3" l="1"/>
  <c r="D22" i="3"/>
  <c r="D19" i="3"/>
  <c r="D23" i="3"/>
  <c r="D24" i="3"/>
  <c r="G47" i="3"/>
  <c r="I47" i="3" s="1"/>
  <c r="G39" i="3"/>
  <c r="I39" i="3" s="1"/>
  <c r="G50" i="3"/>
  <c r="I50" i="3" s="1"/>
  <c r="G44" i="3"/>
  <c r="I44" i="3" s="1"/>
  <c r="D4" i="3"/>
  <c r="E4" i="3"/>
  <c r="A4" i="3"/>
  <c r="F4" i="3"/>
  <c r="I4" i="3" s="1"/>
  <c r="N61" i="3" l="1"/>
  <c r="N58" i="3"/>
  <c r="N62" i="3"/>
  <c r="N55" i="3"/>
  <c r="N56" i="3"/>
  <c r="N59" i="3"/>
  <c r="N60" i="3"/>
  <c r="N57" i="3"/>
  <c r="S58" i="3"/>
  <c r="S57" i="3"/>
  <c r="S56" i="3"/>
  <c r="S61" i="3"/>
  <c r="S62" i="3"/>
  <c r="S60" i="3"/>
  <c r="S59" i="3"/>
  <c r="S55" i="3"/>
  <c r="Q58" i="3"/>
  <c r="B58" i="3" s="1"/>
  <c r="F58" i="3" s="1"/>
  <c r="Q62" i="3"/>
  <c r="B62" i="3" s="1"/>
  <c r="Q55" i="3"/>
  <c r="Q56" i="3"/>
  <c r="Q59" i="3"/>
  <c r="B59" i="3" s="1"/>
  <c r="Q60" i="3"/>
  <c r="Q57" i="3"/>
  <c r="B57" i="3" s="1"/>
  <c r="F57" i="3" s="1"/>
  <c r="Q61" i="3"/>
  <c r="F59" i="3"/>
  <c r="F62" i="3"/>
  <c r="P61" i="3"/>
  <c r="P56" i="3"/>
  <c r="P58" i="3"/>
  <c r="P62" i="3"/>
  <c r="P57" i="3"/>
  <c r="P60" i="3"/>
  <c r="P59" i="3"/>
  <c r="P55" i="3"/>
  <c r="N47" i="3"/>
  <c r="N51" i="3"/>
  <c r="S45" i="3"/>
  <c r="S49" i="3"/>
  <c r="S53" i="3"/>
  <c r="N43" i="3"/>
  <c r="N44" i="3"/>
  <c r="N48" i="3"/>
  <c r="N52" i="3"/>
  <c r="S46" i="3"/>
  <c r="S50" i="3"/>
  <c r="S54" i="3"/>
  <c r="S43" i="3"/>
  <c r="N50" i="3"/>
  <c r="S44" i="3"/>
  <c r="S48" i="3"/>
  <c r="N45" i="3"/>
  <c r="N49" i="3"/>
  <c r="N53" i="3"/>
  <c r="S47" i="3"/>
  <c r="S51" i="3"/>
  <c r="N46" i="3"/>
  <c r="N54" i="3"/>
  <c r="S52" i="3"/>
  <c r="Q45" i="3"/>
  <c r="B45" i="3" s="1"/>
  <c r="Q49" i="3"/>
  <c r="B49" i="3" s="1"/>
  <c r="Q53" i="3"/>
  <c r="Q43" i="3"/>
  <c r="B43" i="3" s="1"/>
  <c r="Q52" i="3"/>
  <c r="B52" i="3" s="1"/>
  <c r="Q46" i="3"/>
  <c r="B46" i="3" s="1"/>
  <c r="Q50" i="3"/>
  <c r="B50" i="3" s="1"/>
  <c r="Q54" i="3"/>
  <c r="Q48" i="3"/>
  <c r="B48" i="3" s="1"/>
  <c r="Q47" i="3"/>
  <c r="B47" i="3" s="1"/>
  <c r="Q51" i="3"/>
  <c r="B51" i="3" s="1"/>
  <c r="Q44" i="3"/>
  <c r="B44" i="3" s="1"/>
  <c r="F52" i="3"/>
  <c r="Y52" i="3" s="1"/>
  <c r="P45" i="3"/>
  <c r="P49" i="3"/>
  <c r="P53" i="3"/>
  <c r="P46" i="3"/>
  <c r="P50" i="3"/>
  <c r="P54" i="3"/>
  <c r="P44" i="3"/>
  <c r="P52" i="3"/>
  <c r="P47" i="3"/>
  <c r="P51" i="3"/>
  <c r="F51" i="3" s="1"/>
  <c r="Y51" i="3" s="1"/>
  <c r="P43" i="3"/>
  <c r="P48" i="3"/>
  <c r="P7" i="3"/>
  <c r="P11" i="3"/>
  <c r="P15" i="3"/>
  <c r="P19" i="3"/>
  <c r="P23" i="3"/>
  <c r="P27" i="3"/>
  <c r="P31" i="3"/>
  <c r="P35" i="3"/>
  <c r="P39" i="3"/>
  <c r="P8" i="3"/>
  <c r="P12" i="3"/>
  <c r="P16" i="3"/>
  <c r="P20" i="3"/>
  <c r="P24" i="3"/>
  <c r="P28" i="3"/>
  <c r="P32" i="3"/>
  <c r="P36" i="3"/>
  <c r="P40" i="3"/>
  <c r="P9" i="3"/>
  <c r="P13" i="3"/>
  <c r="P17" i="3"/>
  <c r="P21" i="3"/>
  <c r="P25" i="3"/>
  <c r="B25" i="3" s="1"/>
  <c r="P29" i="3"/>
  <c r="P33" i="3"/>
  <c r="P37" i="3"/>
  <c r="P41" i="3"/>
  <c r="P10" i="3"/>
  <c r="P26" i="3"/>
  <c r="P42" i="3"/>
  <c r="P22" i="3"/>
  <c r="P14" i="3"/>
  <c r="P30" i="3"/>
  <c r="P38" i="3"/>
  <c r="P18" i="3"/>
  <c r="P34" i="3"/>
  <c r="Q7" i="3"/>
  <c r="Q11" i="3"/>
  <c r="Q15" i="3"/>
  <c r="Q19" i="3"/>
  <c r="Q23" i="3"/>
  <c r="Q27" i="3"/>
  <c r="B27" i="3" s="1"/>
  <c r="Q31" i="3"/>
  <c r="B31" i="3" s="1"/>
  <c r="Q35" i="3"/>
  <c r="B35" i="3" s="1"/>
  <c r="Q39" i="3"/>
  <c r="B39" i="3" s="1"/>
  <c r="Q8" i="3"/>
  <c r="Q12" i="3"/>
  <c r="Q16" i="3"/>
  <c r="Q20" i="3"/>
  <c r="Q24" i="3"/>
  <c r="Q28" i="3"/>
  <c r="B28" i="3" s="1"/>
  <c r="Q32" i="3"/>
  <c r="B32" i="3" s="1"/>
  <c r="Q36" i="3"/>
  <c r="B36" i="3" s="1"/>
  <c r="Q40" i="3"/>
  <c r="B40" i="3" s="1"/>
  <c r="Q9" i="3"/>
  <c r="Q13" i="3"/>
  <c r="Q17" i="3"/>
  <c r="Q21" i="3"/>
  <c r="Q25" i="3"/>
  <c r="Q29" i="3"/>
  <c r="B29" i="3" s="1"/>
  <c r="Q33" i="3"/>
  <c r="B33" i="3" s="1"/>
  <c r="Q37" i="3"/>
  <c r="B37" i="3" s="1"/>
  <c r="Q41" i="3"/>
  <c r="B41" i="3" s="1"/>
  <c r="Q14" i="3"/>
  <c r="Q30" i="3"/>
  <c r="B30" i="3" s="1"/>
  <c r="Q10" i="3"/>
  <c r="Q18" i="3"/>
  <c r="Q34" i="3"/>
  <c r="B34" i="3" s="1"/>
  <c r="Q42" i="3"/>
  <c r="B42" i="3" s="1"/>
  <c r="Q22" i="3"/>
  <c r="Q38" i="3"/>
  <c r="B38" i="3" s="1"/>
  <c r="Q26" i="3"/>
  <c r="B26" i="3" s="1"/>
  <c r="S7" i="3"/>
  <c r="S11" i="3"/>
  <c r="D11" i="3" s="1"/>
  <c r="S15" i="3"/>
  <c r="S19" i="3"/>
  <c r="G19" i="3" s="1"/>
  <c r="S23" i="3"/>
  <c r="G23" i="3" s="1"/>
  <c r="I23" i="3" s="1"/>
  <c r="S27" i="3"/>
  <c r="G27" i="3" s="1"/>
  <c r="I27" i="3" s="1"/>
  <c r="S31" i="3"/>
  <c r="G31" i="3" s="1"/>
  <c r="I31" i="3" s="1"/>
  <c r="S35" i="3"/>
  <c r="S39" i="3"/>
  <c r="N7" i="3"/>
  <c r="N11" i="3"/>
  <c r="B11" i="3" s="1"/>
  <c r="N15" i="3"/>
  <c r="N19" i="3"/>
  <c r="N23" i="3"/>
  <c r="N27" i="3"/>
  <c r="N31" i="3"/>
  <c r="N35" i="3"/>
  <c r="N39" i="3"/>
  <c r="S8" i="3"/>
  <c r="S12" i="3"/>
  <c r="D12" i="3" s="1"/>
  <c r="S16" i="3"/>
  <c r="G16" i="3" s="1"/>
  <c r="S20" i="3"/>
  <c r="G20" i="3" s="1"/>
  <c r="I20" i="3" s="1"/>
  <c r="S24" i="3"/>
  <c r="G24" i="3" s="1"/>
  <c r="I24" i="3" s="1"/>
  <c r="S28" i="3"/>
  <c r="G28" i="3" s="1"/>
  <c r="I28" i="3" s="1"/>
  <c r="S32" i="3"/>
  <c r="G32" i="3" s="1"/>
  <c r="I32" i="3" s="1"/>
  <c r="S36" i="3"/>
  <c r="S40" i="3"/>
  <c r="N8" i="3"/>
  <c r="N12" i="3"/>
  <c r="B12" i="3" s="1"/>
  <c r="N16" i="3"/>
  <c r="N20" i="3"/>
  <c r="N24" i="3"/>
  <c r="N28" i="3"/>
  <c r="N32" i="3"/>
  <c r="N36" i="3"/>
  <c r="N40" i="3"/>
  <c r="S9" i="3"/>
  <c r="S13" i="3"/>
  <c r="S17" i="3"/>
  <c r="G17" i="3" s="1"/>
  <c r="S21" i="3"/>
  <c r="G21" i="3" s="1"/>
  <c r="I21" i="3" s="1"/>
  <c r="S25" i="3"/>
  <c r="G25" i="3" s="1"/>
  <c r="I25" i="3" s="1"/>
  <c r="S29" i="3"/>
  <c r="G29" i="3" s="1"/>
  <c r="I29" i="3" s="1"/>
  <c r="S33" i="3"/>
  <c r="G33" i="3" s="1"/>
  <c r="I33" i="3" s="1"/>
  <c r="S37" i="3"/>
  <c r="S41" i="3"/>
  <c r="N9" i="3"/>
  <c r="N13" i="3"/>
  <c r="B13" i="3" s="1"/>
  <c r="N17" i="3"/>
  <c r="N21" i="3"/>
  <c r="N25" i="3"/>
  <c r="N29" i="3"/>
  <c r="N33" i="3"/>
  <c r="N37" i="3"/>
  <c r="N41" i="3"/>
  <c r="S22" i="3"/>
  <c r="G22" i="3" s="1"/>
  <c r="I22" i="3" s="1"/>
  <c r="S38" i="3"/>
  <c r="N18" i="3"/>
  <c r="N34" i="3"/>
  <c r="S10" i="3"/>
  <c r="D10" i="3" s="1"/>
  <c r="S26" i="3"/>
  <c r="G26" i="3" s="1"/>
  <c r="I26" i="3" s="1"/>
  <c r="S42" i="3"/>
  <c r="N22" i="3"/>
  <c r="N38" i="3"/>
  <c r="S18" i="3"/>
  <c r="G18" i="3" s="1"/>
  <c r="N14" i="3"/>
  <c r="S14" i="3"/>
  <c r="D14" i="3" s="1"/>
  <c r="S30" i="3"/>
  <c r="G30" i="3" s="1"/>
  <c r="I30" i="3" s="1"/>
  <c r="N10" i="3"/>
  <c r="B10" i="3" s="1"/>
  <c r="N26" i="3"/>
  <c r="N42" i="3"/>
  <c r="S34" i="3"/>
  <c r="N30" i="3"/>
  <c r="B4" i="3"/>
  <c r="N4" i="3"/>
  <c r="U4" i="3"/>
  <c r="T4" i="3"/>
  <c r="C4" i="3"/>
  <c r="B13" i="1"/>
  <c r="B14" i="1"/>
  <c r="B15" i="1"/>
  <c r="A22" i="1"/>
  <c r="H57" i="3" l="1"/>
  <c r="Y57" i="3"/>
  <c r="H62" i="3"/>
  <c r="Y62" i="3"/>
  <c r="H59" i="3"/>
  <c r="Y59" i="3"/>
  <c r="H58" i="3"/>
  <c r="Y58" i="3"/>
  <c r="D15" i="3"/>
  <c r="G15" i="3" s="1"/>
  <c r="I15" i="3" s="1"/>
  <c r="D13" i="3"/>
  <c r="G13" i="3" s="1"/>
  <c r="I13" i="3" s="1"/>
  <c r="B54" i="3"/>
  <c r="F54" i="3" s="1"/>
  <c r="B56" i="3"/>
  <c r="F56" i="3" s="1"/>
  <c r="B55" i="3"/>
  <c r="F55" i="3" s="1"/>
  <c r="B60" i="3"/>
  <c r="F60" i="3" s="1"/>
  <c r="B61" i="3"/>
  <c r="F61" i="3" s="1"/>
  <c r="B53" i="3"/>
  <c r="F53" i="3" s="1"/>
  <c r="M61" i="3"/>
  <c r="M55" i="3"/>
  <c r="M58" i="3"/>
  <c r="M62" i="3"/>
  <c r="M56" i="3"/>
  <c r="M60" i="3"/>
  <c r="M59" i="3"/>
  <c r="M57" i="3"/>
  <c r="R59" i="3"/>
  <c r="R57" i="3"/>
  <c r="R62" i="3"/>
  <c r="R60" i="3"/>
  <c r="R58" i="3"/>
  <c r="R61" i="3"/>
  <c r="R55" i="3"/>
  <c r="R56" i="3"/>
  <c r="O58" i="3"/>
  <c r="O62" i="3"/>
  <c r="O55" i="3"/>
  <c r="O61" i="3"/>
  <c r="O59" i="3"/>
  <c r="O56" i="3"/>
  <c r="O60" i="3"/>
  <c r="O57" i="3"/>
  <c r="R44" i="3"/>
  <c r="R48" i="3"/>
  <c r="R52" i="3"/>
  <c r="R43" i="3"/>
  <c r="R51" i="3"/>
  <c r="R45" i="3"/>
  <c r="R49" i="3"/>
  <c r="R53" i="3"/>
  <c r="R46" i="3"/>
  <c r="R50" i="3"/>
  <c r="R54" i="3"/>
  <c r="R47" i="3"/>
  <c r="M46" i="3"/>
  <c r="M50" i="3"/>
  <c r="M54" i="3"/>
  <c r="M47" i="3"/>
  <c r="M51" i="3"/>
  <c r="M44" i="3"/>
  <c r="M48" i="3"/>
  <c r="M52" i="3"/>
  <c r="M43" i="3"/>
  <c r="M45" i="3"/>
  <c r="M49" i="3"/>
  <c r="M53" i="3"/>
  <c r="H51" i="3"/>
  <c r="H52" i="3"/>
  <c r="O44" i="3"/>
  <c r="F44" i="3" s="1"/>
  <c r="Y44" i="3" s="1"/>
  <c r="O48" i="3"/>
  <c r="F48" i="3" s="1"/>
  <c r="Y48" i="3" s="1"/>
  <c r="O52" i="3"/>
  <c r="O51" i="3"/>
  <c r="O45" i="3"/>
  <c r="F45" i="3" s="1"/>
  <c r="Y45" i="3" s="1"/>
  <c r="O49" i="3"/>
  <c r="F49" i="3" s="1"/>
  <c r="Y49" i="3" s="1"/>
  <c r="O53" i="3"/>
  <c r="O43" i="3"/>
  <c r="F43" i="3" s="1"/>
  <c r="Y43" i="3" s="1"/>
  <c r="O46" i="3"/>
  <c r="F46" i="3" s="1"/>
  <c r="Y46" i="3" s="1"/>
  <c r="O50" i="3"/>
  <c r="F50" i="3" s="1"/>
  <c r="Y50" i="3" s="1"/>
  <c r="O54" i="3"/>
  <c r="O47" i="3"/>
  <c r="F47" i="3" s="1"/>
  <c r="Y47" i="3" s="1"/>
  <c r="M10" i="3"/>
  <c r="F10" i="3" s="1"/>
  <c r="M14" i="3"/>
  <c r="M18" i="3"/>
  <c r="M22" i="3"/>
  <c r="M26" i="3"/>
  <c r="M30" i="3"/>
  <c r="M34" i="3"/>
  <c r="M38" i="3"/>
  <c r="M42" i="3"/>
  <c r="M13" i="3"/>
  <c r="M25" i="3"/>
  <c r="M37" i="3"/>
  <c r="M7" i="3"/>
  <c r="B7" i="3" s="1"/>
  <c r="M11" i="3"/>
  <c r="F11" i="3" s="1"/>
  <c r="M15" i="3"/>
  <c r="M19" i="3"/>
  <c r="M23" i="3"/>
  <c r="M27" i="3"/>
  <c r="M31" i="3"/>
  <c r="M35" i="3"/>
  <c r="M39" i="3"/>
  <c r="M17" i="3"/>
  <c r="M29" i="3"/>
  <c r="M41" i="3"/>
  <c r="M8" i="3"/>
  <c r="B8" i="3" s="1"/>
  <c r="M12" i="3"/>
  <c r="M16" i="3"/>
  <c r="M20" i="3"/>
  <c r="M24" i="3"/>
  <c r="M28" i="3"/>
  <c r="M32" i="3"/>
  <c r="M36" i="3"/>
  <c r="M40" i="3"/>
  <c r="M9" i="3"/>
  <c r="B9" i="3" s="1"/>
  <c r="M21" i="3"/>
  <c r="M33" i="3"/>
  <c r="R7" i="3"/>
  <c r="R11" i="3"/>
  <c r="G11" i="3" s="1"/>
  <c r="R15" i="3"/>
  <c r="R19" i="3"/>
  <c r="R23" i="3"/>
  <c r="R27" i="3"/>
  <c r="R31" i="3"/>
  <c r="R35" i="3"/>
  <c r="R39" i="3"/>
  <c r="R8" i="3"/>
  <c r="D8" i="3" s="1"/>
  <c r="R12" i="3"/>
  <c r="R16" i="3"/>
  <c r="R20" i="3"/>
  <c r="R24" i="3"/>
  <c r="R28" i="3"/>
  <c r="R32" i="3"/>
  <c r="R36" i="3"/>
  <c r="R40" i="3"/>
  <c r="R9" i="3"/>
  <c r="R13" i="3"/>
  <c r="R17" i="3"/>
  <c r="R21" i="3"/>
  <c r="R25" i="3"/>
  <c r="R29" i="3"/>
  <c r="R33" i="3"/>
  <c r="R37" i="3"/>
  <c r="G37" i="3" s="1"/>
  <c r="I37" i="3" s="1"/>
  <c r="R41" i="3"/>
  <c r="R18" i="3"/>
  <c r="R34" i="3"/>
  <c r="R22" i="3"/>
  <c r="R38" i="3"/>
  <c r="G38" i="3" s="1"/>
  <c r="I38" i="3" s="1"/>
  <c r="R30" i="3"/>
  <c r="R10" i="3"/>
  <c r="R26" i="3"/>
  <c r="R42" i="3"/>
  <c r="R14" i="3"/>
  <c r="G14" i="3" s="1"/>
  <c r="I14" i="3" s="1"/>
  <c r="O7" i="3"/>
  <c r="O11" i="3"/>
  <c r="O15" i="3"/>
  <c r="O19" i="3"/>
  <c r="B19" i="3" s="1"/>
  <c r="O23" i="3"/>
  <c r="O27" i="3"/>
  <c r="F27" i="3" s="1"/>
  <c r="O31" i="3"/>
  <c r="F31" i="3" s="1"/>
  <c r="O35" i="3"/>
  <c r="F35" i="3" s="1"/>
  <c r="O39" i="3"/>
  <c r="F39" i="3" s="1"/>
  <c r="Y39" i="3" s="1"/>
  <c r="O8" i="3"/>
  <c r="O12" i="3"/>
  <c r="O16" i="3"/>
  <c r="O20" i="3"/>
  <c r="B20" i="3" s="1"/>
  <c r="O24" i="3"/>
  <c r="O28" i="3"/>
  <c r="F28" i="3" s="1"/>
  <c r="O32" i="3"/>
  <c r="F32" i="3" s="1"/>
  <c r="O36" i="3"/>
  <c r="F36" i="3" s="1"/>
  <c r="O40" i="3"/>
  <c r="F40" i="3" s="1"/>
  <c r="Y40" i="3" s="1"/>
  <c r="O9" i="3"/>
  <c r="O13" i="3"/>
  <c r="O17" i="3"/>
  <c r="O21" i="3"/>
  <c r="B21" i="3" s="1"/>
  <c r="O25" i="3"/>
  <c r="F25" i="3" s="1"/>
  <c r="O29" i="3"/>
  <c r="F29" i="3" s="1"/>
  <c r="O33" i="3"/>
  <c r="F33" i="3" s="1"/>
  <c r="O37" i="3"/>
  <c r="F37" i="3" s="1"/>
  <c r="O41" i="3"/>
  <c r="F41" i="3" s="1"/>
  <c r="Y41" i="3" s="1"/>
  <c r="O22" i="3"/>
  <c r="O38" i="3"/>
  <c r="F38" i="3" s="1"/>
  <c r="Y38" i="3" s="1"/>
  <c r="O34" i="3"/>
  <c r="F34" i="3" s="1"/>
  <c r="O10" i="3"/>
  <c r="O26" i="3"/>
  <c r="F26" i="3" s="1"/>
  <c r="O42" i="3"/>
  <c r="F42" i="3" s="1"/>
  <c r="Y42" i="3" s="1"/>
  <c r="O14" i="3"/>
  <c r="O30" i="3"/>
  <c r="F30" i="3" s="1"/>
  <c r="O18" i="3"/>
  <c r="I18" i="3"/>
  <c r="I16" i="3"/>
  <c r="I19" i="3"/>
  <c r="I17" i="3"/>
  <c r="G12" i="3"/>
  <c r="F12" i="3"/>
  <c r="Y12" i="3" s="1"/>
  <c r="F13" i="3"/>
  <c r="Y13" i="3" s="1"/>
  <c r="D22" i="1"/>
  <c r="Y34" i="3" l="1"/>
  <c r="Y11" i="3"/>
  <c r="Y33" i="3"/>
  <c r="Y36" i="3"/>
  <c r="Y10" i="3"/>
  <c r="H61" i="3"/>
  <c r="Y61" i="3"/>
  <c r="H54" i="3"/>
  <c r="Y54" i="3"/>
  <c r="Y37" i="3"/>
  <c r="H56" i="3"/>
  <c r="Y56" i="3"/>
  <c r="Y26" i="3"/>
  <c r="Y29" i="3"/>
  <c r="Y32" i="3"/>
  <c r="Y35" i="3"/>
  <c r="H60" i="3"/>
  <c r="Y60" i="3"/>
  <c r="Y27" i="3"/>
  <c r="H53" i="3"/>
  <c r="Y53" i="3"/>
  <c r="Y30" i="3"/>
  <c r="Y25" i="3"/>
  <c r="Y28" i="3"/>
  <c r="Y31" i="3"/>
  <c r="H55" i="3"/>
  <c r="Y55" i="3"/>
  <c r="D9" i="3"/>
  <c r="G9" i="3" s="1"/>
  <c r="I9" i="3" s="1"/>
  <c r="B24" i="3"/>
  <c r="F24" i="3" s="1"/>
  <c r="Y24" i="3" s="1"/>
  <c r="B23" i="3"/>
  <c r="F23" i="3" s="1"/>
  <c r="Y23" i="3" s="1"/>
  <c r="B15" i="3"/>
  <c r="F15" i="3" s="1"/>
  <c r="Y15" i="3" s="1"/>
  <c r="B14" i="3"/>
  <c r="F14" i="3" s="1"/>
  <c r="Y14" i="3" s="1"/>
  <c r="B17" i="3"/>
  <c r="F17" i="3" s="1"/>
  <c r="Y17" i="3" s="1"/>
  <c r="B22" i="3"/>
  <c r="F22" i="3" s="1"/>
  <c r="Y22" i="3" s="1"/>
  <c r="B16" i="3"/>
  <c r="F16" i="3" s="1"/>
  <c r="Y16" i="3" s="1"/>
  <c r="D7" i="3"/>
  <c r="G7" i="3" s="1"/>
  <c r="I7" i="3" s="1"/>
  <c r="B18" i="3"/>
  <c r="F18" i="3" s="1"/>
  <c r="Y18" i="3" s="1"/>
  <c r="H50" i="3"/>
  <c r="H49" i="3"/>
  <c r="H48" i="3"/>
  <c r="H46" i="3"/>
  <c r="H45" i="3"/>
  <c r="H44" i="3"/>
  <c r="H47" i="3"/>
  <c r="H43" i="3"/>
  <c r="G10" i="3"/>
  <c r="G8" i="3"/>
  <c r="I8" i="3" s="1"/>
  <c r="F19" i="3"/>
  <c r="F21" i="3"/>
  <c r="F20" i="3"/>
  <c r="I12" i="3"/>
  <c r="I11" i="3"/>
  <c r="H39" i="3"/>
  <c r="H34" i="3"/>
  <c r="H33" i="3"/>
  <c r="H26" i="3"/>
  <c r="H41" i="3"/>
  <c r="H11" i="3"/>
  <c r="H40" i="3"/>
  <c r="H25" i="3"/>
  <c r="H38" i="3"/>
  <c r="H13" i="3"/>
  <c r="H10" i="3"/>
  <c r="H12" i="3"/>
  <c r="H28" i="3"/>
  <c r="H36" i="3"/>
  <c r="H32" i="3"/>
  <c r="H42" i="3"/>
  <c r="H35" i="3"/>
  <c r="H37" i="3"/>
  <c r="H29" i="3"/>
  <c r="H31" i="3"/>
  <c r="H27" i="3"/>
  <c r="H30" i="3"/>
  <c r="F8" i="3"/>
  <c r="Y8" i="3" s="1"/>
  <c r="F9" i="3"/>
  <c r="Y9" i="3" s="1"/>
  <c r="F7" i="3"/>
  <c r="Y7" i="3" s="1"/>
  <c r="C3" i="1"/>
  <c r="D3" i="1" s="1"/>
  <c r="E3" i="1" s="1"/>
  <c r="C4" i="1"/>
  <c r="D4" i="1" s="1"/>
  <c r="E4" i="1" s="1"/>
  <c r="C5" i="1"/>
  <c r="D5" i="1" s="1"/>
  <c r="E5" i="1" s="1"/>
  <c r="C6" i="1"/>
  <c r="D6" i="1" s="1"/>
  <c r="E6" i="1" s="1"/>
  <c r="C7" i="1"/>
  <c r="D7" i="1" s="1"/>
  <c r="E7" i="1" s="1"/>
  <c r="C8" i="1"/>
  <c r="D8" i="1" s="1"/>
  <c r="E8" i="1" s="1"/>
  <c r="C9" i="1"/>
  <c r="D9" i="1" s="1"/>
  <c r="E9" i="1" s="1"/>
  <c r="C10" i="1"/>
  <c r="F10" i="1" s="1"/>
  <c r="C11" i="1"/>
  <c r="D11" i="1" s="1"/>
  <c r="E11" i="1" s="1"/>
  <c r="C12" i="1"/>
  <c r="D12" i="1" s="1"/>
  <c r="E12" i="1" s="1"/>
  <c r="C13" i="1"/>
  <c r="D13" i="1" s="1"/>
  <c r="E13" i="1" s="1"/>
  <c r="C14" i="1"/>
  <c r="F14" i="1" s="1"/>
  <c r="C15" i="1"/>
  <c r="D15" i="1" s="1"/>
  <c r="E15" i="1" s="1"/>
  <c r="C16" i="1"/>
  <c r="D16" i="1" s="1"/>
  <c r="E16" i="1" s="1"/>
  <c r="C17" i="1"/>
  <c r="D17" i="1" s="1"/>
  <c r="E17" i="1" s="1"/>
  <c r="Y19" i="3" l="1"/>
  <c r="Y20" i="3"/>
  <c r="Y21" i="3"/>
  <c r="H24" i="3"/>
  <c r="H23" i="3"/>
  <c r="H14" i="3"/>
  <c r="H15" i="3"/>
  <c r="H22" i="3"/>
  <c r="H16" i="3"/>
  <c r="H18" i="3"/>
  <c r="H17" i="3"/>
  <c r="L50" i="3"/>
  <c r="L52" i="3"/>
  <c r="L28" i="3"/>
  <c r="L29" i="3"/>
  <c r="L44" i="3"/>
  <c r="L40" i="3"/>
  <c r="L34" i="3"/>
  <c r="L47" i="3"/>
  <c r="L39" i="3"/>
  <c r="L33" i="3"/>
  <c r="L30" i="3"/>
  <c r="L35" i="3"/>
  <c r="L26" i="3"/>
  <c r="L51" i="3"/>
  <c r="L43" i="3"/>
  <c r="L32" i="3"/>
  <c r="L42" i="3"/>
  <c r="L41" i="3"/>
  <c r="L46" i="3"/>
  <c r="L49" i="3"/>
  <c r="L37" i="3"/>
  <c r="L31" i="3"/>
  <c r="L45" i="3"/>
  <c r="L36" i="3"/>
  <c r="L38" i="3"/>
  <c r="L48" i="3"/>
  <c r="L27" i="3"/>
  <c r="I10" i="3"/>
  <c r="H20" i="3"/>
  <c r="H21" i="3"/>
  <c r="H19" i="3"/>
  <c r="L14" i="3"/>
  <c r="L11" i="3"/>
  <c r="L20" i="3"/>
  <c r="L8" i="3"/>
  <c r="L18" i="3"/>
  <c r="L23" i="3"/>
  <c r="L13" i="3"/>
  <c r="L22" i="3"/>
  <c r="L25" i="3"/>
  <c r="L9" i="3"/>
  <c r="L24" i="3"/>
  <c r="L12" i="3"/>
  <c r="L21" i="3"/>
  <c r="L15" i="3"/>
  <c r="L10" i="3"/>
  <c r="L16" i="3"/>
  <c r="L19" i="3"/>
  <c r="L17" i="3"/>
  <c r="H9" i="3"/>
  <c r="H8" i="3"/>
  <c r="H7" i="3"/>
  <c r="F16" i="1"/>
  <c r="G14" i="1"/>
  <c r="G10" i="1"/>
  <c r="D10" i="1"/>
  <c r="E10" i="1" s="1"/>
  <c r="F6" i="1"/>
  <c r="F8" i="1"/>
  <c r="D14" i="1"/>
  <c r="E14" i="1" s="1"/>
  <c r="F9" i="1"/>
  <c r="F17" i="1"/>
  <c r="F12" i="1"/>
  <c r="F13" i="1"/>
  <c r="F5" i="1"/>
  <c r="F4" i="1"/>
  <c r="F15" i="1"/>
  <c r="F11" i="1"/>
  <c r="F7" i="1"/>
  <c r="F3" i="1"/>
  <c r="C19" i="1"/>
  <c r="D19" i="1" s="1"/>
  <c r="E19" i="1" s="1"/>
  <c r="G19" i="1"/>
  <c r="C2" i="1"/>
  <c r="D2" i="1" s="1"/>
  <c r="E2" i="1" s="1"/>
  <c r="C18" i="1"/>
  <c r="G15" i="1" l="1"/>
  <c r="G12" i="1"/>
  <c r="G8" i="1"/>
  <c r="G3" i="1"/>
  <c r="G4" i="1"/>
  <c r="G17" i="1"/>
  <c r="G6" i="1"/>
  <c r="G7" i="1"/>
  <c r="G5" i="1"/>
  <c r="G9" i="1"/>
  <c r="G11" i="1"/>
  <c r="G13" i="1"/>
  <c r="G16" i="1"/>
  <c r="F2" i="1"/>
  <c r="G2" i="1" l="1"/>
  <c r="D18" i="1"/>
  <c r="E18" i="1" s="1"/>
  <c r="F18" i="1" l="1"/>
  <c r="H18" i="1" l="1"/>
  <c r="H8" i="1"/>
  <c r="H6" i="1"/>
  <c r="H11" i="1"/>
  <c r="H2" i="1"/>
  <c r="H9" i="1"/>
  <c r="H15" i="1"/>
  <c r="H16" i="1"/>
  <c r="H5" i="1"/>
  <c r="H19" i="1"/>
  <c r="H12" i="1"/>
  <c r="H4" i="1"/>
  <c r="H3" i="1"/>
  <c r="H10" i="1"/>
  <c r="H14" i="1"/>
  <c r="H17" i="1"/>
  <c r="H13" i="1"/>
  <c r="H7" i="1"/>
  <c r="G18" i="1"/>
</calcChain>
</file>

<file path=xl/sharedStrings.xml><?xml version="1.0" encoding="utf-8"?>
<sst xmlns="http://schemas.openxmlformats.org/spreadsheetml/2006/main" count="114" uniqueCount="85">
  <si>
    <t>rpm</t>
  </si>
  <si>
    <t>ps</t>
  </si>
  <si>
    <t>pto</t>
  </si>
  <si>
    <t>xml</t>
  </si>
  <si>
    <t>motor</t>
  </si>
  <si>
    <t>rawData</t>
  </si>
  <si>
    <t>kw_pto</t>
  </si>
  <si>
    <t>Factor</t>
  </si>
  <si>
    <t>ratedRpm</t>
  </si>
  <si>
    <t>xml2</t>
  </si>
  <si>
    <t>PS</t>
  </si>
  <si>
    <t>Nm_rated</t>
  </si>
  <si>
    <t>maxTRpm</t>
  </si>
  <si>
    <t>maxT</t>
  </si>
  <si>
    <t>idleRpm</t>
  </si>
  <si>
    <t>idleRatio</t>
  </si>
  <si>
    <t>f1</t>
  </si>
  <si>
    <t>f2</t>
  </si>
  <si>
    <t>maxPRpm</t>
  </si>
  <si>
    <t>Nm</t>
  </si>
  <si>
    <t>Nm2</t>
  </si>
  <si>
    <t>fadeOut</t>
  </si>
  <si>
    <t>maxTRpm1</t>
  </si>
  <si>
    <t>maxPS</t>
  </si>
  <si>
    <t>f3</t>
  </si>
  <si>
    <t>linearDown</t>
  </si>
  <si>
    <t>f4</t>
  </si>
  <si>
    <t>Anfahrmoment</t>
  </si>
  <si>
    <t>xmlComment</t>
  </si>
  <si>
    <t>manualData</t>
  </si>
  <si>
    <t>fuelMinRpm</t>
  </si>
  <si>
    <t>fuelMinRate</t>
  </si>
  <si>
    <t>fuelIdleRate</t>
  </si>
  <si>
    <t>fuelRatedRate</t>
  </si>
  <si>
    <t>fuelUsageRatio</t>
  </si>
  <si>
    <t>maxPSEco</t>
  </si>
  <si>
    <t>PSEco</t>
  </si>
  <si>
    <t>NmEco</t>
  </si>
  <si>
    <t>Nm2Eco</t>
  </si>
  <si>
    <t>f3Eco</t>
  </si>
  <si>
    <t>f4Eco</t>
  </si>
  <si>
    <t>f2Eco</t>
  </si>
  <si>
    <t>idleT</t>
  </si>
  <si>
    <t>rawDataEco</t>
  </si>
  <si>
    <t>manDataEco</t>
  </si>
  <si>
    <t>psEco</t>
  </si>
  <si>
    <t>motorEco</t>
  </si>
  <si>
    <t>maxTEco</t>
  </si>
  <si>
    <t>idleTEco</t>
  </si>
  <si>
    <t>Efficiency</t>
  </si>
  <si>
    <t>t1</t>
  </si>
  <si>
    <t>t2</t>
  </si>
  <si>
    <t>t3</t>
  </si>
  <si>
    <t>t4</t>
  </si>
  <si>
    <t>t5</t>
  </si>
  <si>
    <t>t1E</t>
  </si>
  <si>
    <t>t2E</t>
  </si>
  <si>
    <t>t4E</t>
  </si>
  <si>
    <t>t5E</t>
  </si>
  <si>
    <t>t3E</t>
  </si>
  <si>
    <t>normRpm</t>
  </si>
  <si>
    <t>Anstieg</t>
  </si>
  <si>
    <t>Abfall</t>
  </si>
  <si>
    <t>PSEcoRate</t>
  </si>
  <si>
    <t>NmEcoRate</t>
  </si>
  <si>
    <t>Nm1000</t>
  </si>
  <si>
    <t>AnstiegE</t>
  </si>
  <si>
    <t>maxPsEcoRate</t>
  </si>
  <si>
    <t>fadeOutExp</t>
  </si>
  <si>
    <t>max kW</t>
  </si>
  <si>
    <t>rated kW</t>
  </si>
  <si>
    <t>max g/kWh</t>
  </si>
  <si>
    <t>t6</t>
  </si>
  <si>
    <t>t6E</t>
  </si>
  <si>
    <t>maxPSRpmRate</t>
  </si>
  <si>
    <t>deltaEco</t>
  </si>
  <si>
    <t>maxDeltaEco</t>
  </si>
  <si>
    <t>kW</t>
  </si>
  <si>
    <t>U/min</t>
  </si>
  <si>
    <t>Row</t>
  </si>
  <si>
    <t>t0</t>
  </si>
  <si>
    <t>alpha</t>
  </si>
  <si>
    <t>Nm0</t>
  </si>
  <si>
    <t>Nm3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</si>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</sst>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sz val="6"/>
      <color theme="1"/>
      <name val="Calibri"/>
      <scheme val="minor"/>
    </font>
    <font>
      <sz val="11"/>
      <color theme="0" tint="-0.34998626667073579"/>
      <name val="Calibri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NumberFormat="1"/>
    <xf numFmtId="49" fontId="0" fillId="0" borderId="0" xfId="0" applyNumberFormat="1"/>
    <xf numFmtId="1" fontId="0" fillId="0" borderId="0" xfId="0" applyNumberFormat="1"/>
    <xf numFmtId="0" fontId="0" fillId="0" borderId="0" xfId="0" applyAlignment="1">
      <alignment textRotation="45"/>
    </xf>
    <xf numFmtId="49" fontId="0" fillId="0" borderId="0" xfId="0" applyNumberFormat="1" applyAlignment="1">
      <alignment textRotation="45"/>
    </xf>
    <xf numFmtId="0" fontId="0" fillId="0" borderId="0" xfId="0" applyNumberFormat="1" applyAlignment="1">
      <alignment textRotation="45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1" fontId="2" fillId="0" borderId="0" xfId="0" applyNumberFormat="1" applyFont="1"/>
    <xf numFmtId="0" fontId="3" fillId="2" borderId="0" xfId="0" applyFont="1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5" fillId="0" borderId="1" xfId="0" applyFont="1" applyBorder="1"/>
    <xf numFmtId="0" fontId="5" fillId="0" borderId="2" xfId="0" applyFont="1" applyBorder="1"/>
    <xf numFmtId="0" fontId="5" fillId="3" borderId="3" xfId="0" applyFont="1" applyFill="1" applyBorder="1"/>
    <xf numFmtId="0" fontId="5" fillId="0" borderId="3" xfId="0" applyFont="1" applyBorder="1"/>
    <xf numFmtId="1" fontId="0" fillId="0" borderId="4" xfId="0" applyNumberFormat="1" applyBorder="1"/>
    <xf numFmtId="1" fontId="0" fillId="0" borderId="5" xfId="0" applyNumberFormat="1" applyBorder="1"/>
    <xf numFmtId="9" fontId="4" fillId="2" borderId="9" xfId="1" applyFont="1" applyFill="1" applyBorder="1"/>
    <xf numFmtId="0" fontId="6" fillId="4" borderId="6" xfId="0" applyFont="1" applyFill="1" applyBorder="1"/>
    <xf numFmtId="0" fontId="6" fillId="4" borderId="7" xfId="0" applyFont="1" applyFill="1" applyBorder="1"/>
    <xf numFmtId="0" fontId="6" fillId="4" borderId="8" xfId="0" applyFont="1" applyFill="1" applyBorder="1"/>
    <xf numFmtId="164" fontId="0" fillId="0" borderId="0" xfId="0" applyNumberFormat="1"/>
    <xf numFmtId="0" fontId="0" fillId="0" borderId="12" xfId="0" applyBorder="1"/>
    <xf numFmtId="0" fontId="0" fillId="0" borderId="6" xfId="0" applyBorder="1"/>
    <xf numFmtId="9" fontId="0" fillId="0" borderId="7" xfId="1" applyFont="1" applyBorder="1"/>
    <xf numFmtId="0" fontId="0" fillId="0" borderId="8" xfId="0" applyBorder="1"/>
    <xf numFmtId="1" fontId="4" fillId="2" borderId="9" xfId="1" applyNumberFormat="1" applyFont="1" applyFill="1" applyBorder="1"/>
    <xf numFmtId="1" fontId="4" fillId="2" borderId="10" xfId="1" applyNumberFormat="1" applyFont="1" applyFill="1" applyBorder="1"/>
    <xf numFmtId="1" fontId="4" fillId="2" borderId="11" xfId="1" applyNumberFormat="1" applyFont="1" applyFill="1" applyBorder="1"/>
    <xf numFmtId="1" fontId="7" fillId="0" borderId="0" xfId="0" applyNumberFormat="1" applyFont="1"/>
    <xf numFmtId="165" fontId="4" fillId="2" borderId="10" xfId="1" applyNumberFormat="1" applyFont="1" applyFill="1" applyBorder="1"/>
    <xf numFmtId="0" fontId="5" fillId="0" borderId="12" xfId="0" applyFont="1" applyBorder="1"/>
    <xf numFmtId="0" fontId="8" fillId="2" borderId="0" xfId="0" applyFont="1" applyFill="1"/>
    <xf numFmtId="0" fontId="3" fillId="2" borderId="14" xfId="0" applyFont="1" applyFill="1" applyBorder="1"/>
    <xf numFmtId="0" fontId="9" fillId="5" borderId="15" xfId="0" applyFont="1" applyFill="1" applyBorder="1" applyAlignment="1">
      <alignment textRotation="45"/>
    </xf>
    <xf numFmtId="0" fontId="9" fillId="5" borderId="0" xfId="0" applyFont="1" applyFill="1" applyBorder="1" applyAlignment="1">
      <alignment textRotation="45"/>
    </xf>
    <xf numFmtId="49" fontId="9" fillId="5" borderId="0" xfId="0" applyNumberFormat="1" applyFont="1" applyFill="1" applyBorder="1" applyAlignment="1">
      <alignment textRotation="45"/>
    </xf>
    <xf numFmtId="0" fontId="0" fillId="3" borderId="6" xfId="0" applyFont="1" applyFill="1" applyBorder="1"/>
    <xf numFmtId="0" fontId="0" fillId="3" borderId="7" xfId="0" applyFont="1" applyFill="1" applyBorder="1"/>
    <xf numFmtId="0" fontId="0" fillId="0" borderId="6" xfId="0" applyFont="1" applyBorder="1"/>
    <xf numFmtId="0" fontId="0" fillId="0" borderId="7" xfId="0" applyFont="1" applyBorder="1"/>
    <xf numFmtId="0" fontId="10" fillId="5" borderId="0" xfId="0" applyFont="1" applyFill="1" applyAlignment="1">
      <alignment textRotation="45"/>
    </xf>
    <xf numFmtId="9" fontId="0" fillId="0" borderId="0" xfId="1" applyFont="1"/>
    <xf numFmtId="0" fontId="10" fillId="5" borderId="13" xfId="0" applyFont="1" applyFill="1" applyBorder="1" applyAlignment="1">
      <alignment textRotation="45"/>
    </xf>
  </cellXfs>
  <cellStyles count="2">
    <cellStyle name="Normal" xfId="0" builtinId="0"/>
    <cellStyle name="Percent" xfId="1" builtinId="5"/>
  </cellStyles>
  <dxfs count="10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medium">
          <color indexed="64"/>
        </left>
        <right/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 style="medium">
          <color indexed="64"/>
        </left>
        <right/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medium">
          <color indexed="64"/>
        </left>
        <right/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 style="medium">
          <color indexed="64"/>
        </left>
        <right/>
        <top style="medium">
          <color indexed="64"/>
        </top>
        <bottom/>
        <vertical/>
        <horizontal/>
      </border>
    </dxf>
    <dxf>
      <border outline="0">
        <top style="thin">
          <color theme="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general" vertical="bottom" textRotation="45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%"/>
      <fill>
        <patternFill patternType="solid">
          <fgColor indexed="64"/>
          <bgColor theme="0"/>
        </patternFill>
      </fill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%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%"/>
      <fill>
        <patternFill patternType="solid">
          <fgColor indexed="64"/>
          <bgColor theme="0"/>
        </patternFill>
      </fill>
      <border diagonalUp="0" diagonalDown="0" outline="0">
        <left/>
        <right/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font>
        <i/>
        <color theme="0" tint="-0.34998626667073579"/>
      </font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i/>
        <color theme="0" tint="-0.34998626667073579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 outline="0">
        <left style="medium">
          <color indexed="64"/>
        </left>
        <right/>
        <top/>
        <bottom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general" vertical="bottom" textRotation="45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strike val="0"/>
        <outline val="0"/>
        <shadow val="0"/>
        <u val="none"/>
        <vertAlign val="baseline"/>
        <sz val="6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6"/>
        <color theme="1"/>
        <name val="Calibri"/>
        <scheme val="minor"/>
      </font>
      <numFmt numFmtId="1" formatCode="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" formatCode="0"/>
    </dxf>
    <dxf>
      <numFmt numFmtId="1" formatCode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45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202653051670501E-2"/>
          <c:y val="2.0063836607697848E-2"/>
          <c:w val="0.90235456715814155"/>
          <c:h val="0.89894519082618773"/>
        </c:manualLayout>
      </c:layout>
      <c:scatterChart>
        <c:scatterStyle val="lineMarker"/>
        <c:varyColors val="0"/>
        <c:ser>
          <c:idx val="1"/>
          <c:order val="1"/>
          <c:tx>
            <c:strRef>
              <c:f>'Calculate from Values'!$F$6</c:f>
              <c:strCache>
                <c:ptCount val="1"/>
                <c:pt idx="0">
                  <c:v>motor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'Calculate from Values'!$A$7:$A$62</c:f>
              <c:numCache>
                <c:formatCode>0</c:formatCode>
                <c:ptCount val="56"/>
                <c:pt idx="0">
                  <c:v>0</c:v>
                </c:pt>
                <c:pt idx="1">
                  <c:v>350</c:v>
                </c:pt>
                <c:pt idx="2">
                  <c:v>700</c:v>
                </c:pt>
                <c:pt idx="3">
                  <c:v>900</c:v>
                </c:pt>
                <c:pt idx="4">
                  <c:v>1000</c:v>
                </c:pt>
                <c:pt idx="5">
                  <c:v>1100</c:v>
                </c:pt>
                <c:pt idx="6">
                  <c:v>1200</c:v>
                </c:pt>
                <c:pt idx="7">
                  <c:v>1300</c:v>
                </c:pt>
                <c:pt idx="8">
                  <c:v>1400</c:v>
                </c:pt>
                <c:pt idx="9">
                  <c:v>1500</c:v>
                </c:pt>
                <c:pt idx="10">
                  <c:v>1600</c:v>
                </c:pt>
                <c:pt idx="11">
                  <c:v>1700</c:v>
                </c:pt>
                <c:pt idx="12">
                  <c:v>1800</c:v>
                </c:pt>
                <c:pt idx="13">
                  <c:v>1850</c:v>
                </c:pt>
                <c:pt idx="14">
                  <c:v>1900</c:v>
                </c:pt>
                <c:pt idx="15">
                  <c:v>1950</c:v>
                </c:pt>
                <c:pt idx="16">
                  <c:v>2000</c:v>
                </c:pt>
                <c:pt idx="17">
                  <c:v>2050</c:v>
                </c:pt>
                <c:pt idx="18">
                  <c:v>2100</c:v>
                </c:pt>
                <c:pt idx="19">
                  <c:v>2150</c:v>
                </c:pt>
                <c:pt idx="20">
                  <c:v>2200</c:v>
                </c:pt>
                <c:pt idx="21">
                  <c:v>2250</c:v>
                </c:pt>
                <c:pt idx="22">
                  <c:v>2300</c:v>
                </c:pt>
                <c:pt idx="23">
                  <c:v>2350</c:v>
                </c:pt>
                <c:pt idx="24">
                  <c:v>2400</c:v>
                </c:pt>
                <c:pt idx="25">
                  <c:v>2450</c:v>
                </c:pt>
                <c:pt idx="26">
                  <c:v>2500</c:v>
                </c:pt>
                <c:pt idx="27">
                  <c:v>2550</c:v>
                </c:pt>
                <c:pt idx="28">
                  <c:v>2600</c:v>
                </c:pt>
                <c:pt idx="29">
                  <c:v>2650</c:v>
                </c:pt>
                <c:pt idx="30">
                  <c:v>2750</c:v>
                </c:pt>
                <c:pt idx="31">
                  <c:v>3000</c:v>
                </c:pt>
                <c:pt idx="32">
                  <c:v>3250</c:v>
                </c:pt>
                <c:pt idx="33">
                  <c:v>3500</c:v>
                </c:pt>
                <c:pt idx="34">
                  <c:v>3750</c:v>
                </c:pt>
                <c:pt idx="35">
                  <c:v>4000</c:v>
                </c:pt>
                <c:pt idx="36">
                  <c:v>4250</c:v>
                </c:pt>
                <c:pt idx="37">
                  <c:v>4500</c:v>
                </c:pt>
                <c:pt idx="38">
                  <c:v>4750</c:v>
                </c:pt>
                <c:pt idx="39">
                  <c:v>5000</c:v>
                </c:pt>
                <c:pt idx="40">
                  <c:v>5250</c:v>
                </c:pt>
                <c:pt idx="41">
                  <c:v>5500</c:v>
                </c:pt>
                <c:pt idx="42">
                  <c:v>5750</c:v>
                </c:pt>
                <c:pt idx="43">
                  <c:v>6000</c:v>
                </c:pt>
                <c:pt idx="44">
                  <c:v>6250</c:v>
                </c:pt>
                <c:pt idx="45">
                  <c:v>6500</c:v>
                </c:pt>
                <c:pt idx="46">
                  <c:v>6750</c:v>
                </c:pt>
                <c:pt idx="47">
                  <c:v>7000</c:v>
                </c:pt>
                <c:pt idx="48">
                  <c:v>7250</c:v>
                </c:pt>
                <c:pt idx="49">
                  <c:v>7500</c:v>
                </c:pt>
                <c:pt idx="50">
                  <c:v>7750</c:v>
                </c:pt>
                <c:pt idx="51">
                  <c:v>8000</c:v>
                </c:pt>
                <c:pt idx="52">
                  <c:v>8250</c:v>
                </c:pt>
                <c:pt idx="53">
                  <c:v>8500</c:v>
                </c:pt>
                <c:pt idx="54">
                  <c:v>8750</c:v>
                </c:pt>
                <c:pt idx="55">
                  <c:v>9000</c:v>
                </c:pt>
              </c:numCache>
            </c:numRef>
          </c:xVal>
          <c:yVal>
            <c:numRef>
              <c:f>'Calculate from Values'!$F$7:$F$62</c:f>
              <c:numCache>
                <c:formatCode>0</c:formatCode>
                <c:ptCount val="56"/>
                <c:pt idx="0">
                  <c:v>0</c:v>
                </c:pt>
                <c:pt idx="1">
                  <c:v>886.50239214473925</c:v>
                </c:pt>
                <c:pt idx="2">
                  <c:v>1237.857330575074</c:v>
                </c:pt>
                <c:pt idx="3">
                  <c:v>1372.8242603550295</c:v>
                </c:pt>
                <c:pt idx="4">
                  <c:v>1427.4278106508875</c:v>
                </c:pt>
                <c:pt idx="5">
                  <c:v>1471.1106508875739</c:v>
                </c:pt>
                <c:pt idx="6">
                  <c:v>1503.8727810650887</c:v>
                </c:pt>
                <c:pt idx="7">
                  <c:v>1525.7142011834319</c:v>
                </c:pt>
                <c:pt idx="8">
                  <c:v>1536.6349112426035</c:v>
                </c:pt>
                <c:pt idx="9">
                  <c:v>1533.4040056568438</c:v>
                </c:pt>
                <c:pt idx="10">
                  <c:v>1521.4544203646369</c:v>
                </c:pt>
                <c:pt idx="11">
                  <c:v>1505.8280395979054</c:v>
                </c:pt>
                <c:pt idx="12">
                  <c:v>1486.5248633566487</c:v>
                </c:pt>
                <c:pt idx="13">
                  <c:v>1475.4944769330734</c:v>
                </c:pt>
                <c:pt idx="14">
                  <c:v>1463.5448916408668</c:v>
                </c:pt>
                <c:pt idx="15">
                  <c:v>1424.6677036199094</c:v>
                </c:pt>
                <c:pt idx="16">
                  <c:v>1385.1011029411764</c:v>
                </c:pt>
                <c:pt idx="17">
                  <c:v>1344.8955344332855</c:v>
                </c:pt>
                <c:pt idx="18">
                  <c:v>1304.0966386554621</c:v>
                </c:pt>
                <c:pt idx="19">
                  <c:v>1157.2455239922192</c:v>
                </c:pt>
                <c:pt idx="20">
                  <c:v>716.69218000249055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'Calculate from Values'!$G$6</c:f>
              <c:strCache>
                <c:ptCount val="1"/>
                <c:pt idx="0">
                  <c:v>motorEco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'Calculate from Values'!$A$7:$A$62</c:f>
              <c:numCache>
                <c:formatCode>0</c:formatCode>
                <c:ptCount val="56"/>
                <c:pt idx="0">
                  <c:v>0</c:v>
                </c:pt>
                <c:pt idx="1">
                  <c:v>350</c:v>
                </c:pt>
                <c:pt idx="2">
                  <c:v>700</c:v>
                </c:pt>
                <c:pt idx="3">
                  <c:v>900</c:v>
                </c:pt>
                <c:pt idx="4">
                  <c:v>1000</c:v>
                </c:pt>
                <c:pt idx="5">
                  <c:v>1100</c:v>
                </c:pt>
                <c:pt idx="6">
                  <c:v>1200</c:v>
                </c:pt>
                <c:pt idx="7">
                  <c:v>1300</c:v>
                </c:pt>
                <c:pt idx="8">
                  <c:v>1400</c:v>
                </c:pt>
                <c:pt idx="9">
                  <c:v>1500</c:v>
                </c:pt>
                <c:pt idx="10">
                  <c:v>1600</c:v>
                </c:pt>
                <c:pt idx="11">
                  <c:v>1700</c:v>
                </c:pt>
                <c:pt idx="12">
                  <c:v>1800</c:v>
                </c:pt>
                <c:pt idx="13">
                  <c:v>1850</c:v>
                </c:pt>
                <c:pt idx="14">
                  <c:v>1900</c:v>
                </c:pt>
                <c:pt idx="15">
                  <c:v>1950</c:v>
                </c:pt>
                <c:pt idx="16">
                  <c:v>2000</c:v>
                </c:pt>
                <c:pt idx="17">
                  <c:v>2050</c:v>
                </c:pt>
                <c:pt idx="18">
                  <c:v>2100</c:v>
                </c:pt>
                <c:pt idx="19">
                  <c:v>2150</c:v>
                </c:pt>
                <c:pt idx="20">
                  <c:v>2200</c:v>
                </c:pt>
                <c:pt idx="21">
                  <c:v>2250</c:v>
                </c:pt>
                <c:pt idx="22">
                  <c:v>2300</c:v>
                </c:pt>
                <c:pt idx="23">
                  <c:v>2350</c:v>
                </c:pt>
                <c:pt idx="24">
                  <c:v>2400</c:v>
                </c:pt>
                <c:pt idx="25">
                  <c:v>2450</c:v>
                </c:pt>
                <c:pt idx="26">
                  <c:v>2500</c:v>
                </c:pt>
                <c:pt idx="27">
                  <c:v>2550</c:v>
                </c:pt>
                <c:pt idx="28">
                  <c:v>2600</c:v>
                </c:pt>
                <c:pt idx="29">
                  <c:v>2650</c:v>
                </c:pt>
                <c:pt idx="30">
                  <c:v>2750</c:v>
                </c:pt>
                <c:pt idx="31">
                  <c:v>3000</c:v>
                </c:pt>
                <c:pt idx="32">
                  <c:v>3250</c:v>
                </c:pt>
                <c:pt idx="33">
                  <c:v>3500</c:v>
                </c:pt>
                <c:pt idx="34">
                  <c:v>3750</c:v>
                </c:pt>
                <c:pt idx="35">
                  <c:v>4000</c:v>
                </c:pt>
                <c:pt idx="36">
                  <c:v>4250</c:v>
                </c:pt>
                <c:pt idx="37">
                  <c:v>4500</c:v>
                </c:pt>
                <c:pt idx="38">
                  <c:v>4750</c:v>
                </c:pt>
                <c:pt idx="39">
                  <c:v>5000</c:v>
                </c:pt>
                <c:pt idx="40">
                  <c:v>5250</c:v>
                </c:pt>
                <c:pt idx="41">
                  <c:v>5500</c:v>
                </c:pt>
                <c:pt idx="42">
                  <c:v>5750</c:v>
                </c:pt>
                <c:pt idx="43">
                  <c:v>6000</c:v>
                </c:pt>
                <c:pt idx="44">
                  <c:v>6250</c:v>
                </c:pt>
                <c:pt idx="45">
                  <c:v>6500</c:v>
                </c:pt>
                <c:pt idx="46">
                  <c:v>6750</c:v>
                </c:pt>
                <c:pt idx="47">
                  <c:v>7000</c:v>
                </c:pt>
                <c:pt idx="48">
                  <c:v>7250</c:v>
                </c:pt>
                <c:pt idx="49">
                  <c:v>7500</c:v>
                </c:pt>
                <c:pt idx="50">
                  <c:v>7750</c:v>
                </c:pt>
                <c:pt idx="51">
                  <c:v>8000</c:v>
                </c:pt>
                <c:pt idx="52">
                  <c:v>8250</c:v>
                </c:pt>
                <c:pt idx="53">
                  <c:v>8500</c:v>
                </c:pt>
                <c:pt idx="54">
                  <c:v>8750</c:v>
                </c:pt>
                <c:pt idx="55">
                  <c:v>9000</c:v>
                </c:pt>
              </c:numCache>
            </c:numRef>
          </c:xVal>
          <c:yVal>
            <c:numRef>
              <c:f>'Calculate from Values'!$G$7:$G$62</c:f>
              <c:numCache>
                <c:formatCode>0</c:formatCode>
                <c:ptCount val="56"/>
                <c:pt idx="0">
                  <c:v>0</c:v>
                </c:pt>
                <c:pt idx="1">
                  <c:v>886.50239214473925</c:v>
                </c:pt>
                <c:pt idx="2">
                  <c:v>1237.857330575074</c:v>
                </c:pt>
                <c:pt idx="3">
                  <c:v>1372.8242603550295</c:v>
                </c:pt>
                <c:pt idx="4">
                  <c:v>1427.4278106508875</c:v>
                </c:pt>
                <c:pt idx="5">
                  <c:v>1471.1106508875739</c:v>
                </c:pt>
                <c:pt idx="6">
                  <c:v>1503.8727810650887</c:v>
                </c:pt>
                <c:pt idx="7">
                  <c:v>1525.7142011834319</c:v>
                </c:pt>
                <c:pt idx="8">
                  <c:v>1536.6349112426035</c:v>
                </c:pt>
                <c:pt idx="9">
                  <c:v>1533.4040056568438</c:v>
                </c:pt>
                <c:pt idx="10">
                  <c:v>1521.4544203646369</c:v>
                </c:pt>
                <c:pt idx="11">
                  <c:v>1505.8280395979054</c:v>
                </c:pt>
                <c:pt idx="12">
                  <c:v>1486.5248633566487</c:v>
                </c:pt>
                <c:pt idx="13">
                  <c:v>1475.4944769330734</c:v>
                </c:pt>
                <c:pt idx="14">
                  <c:v>1463.5448916408668</c:v>
                </c:pt>
                <c:pt idx="15">
                  <c:v>1424.6677036199094</c:v>
                </c:pt>
                <c:pt idx="16">
                  <c:v>1385.1011029411764</c:v>
                </c:pt>
                <c:pt idx="17">
                  <c:v>1344.8955344332855</c:v>
                </c:pt>
                <c:pt idx="18">
                  <c:v>1304.0966386554621</c:v>
                </c:pt>
                <c:pt idx="19">
                  <c:v>1157.2455239922192</c:v>
                </c:pt>
                <c:pt idx="20">
                  <c:v>716.69218000249055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986904"/>
        <c:axId val="500987688"/>
      </c:scatterChart>
      <c:scatterChart>
        <c:scatterStyle val="lineMarker"/>
        <c:varyColors val="0"/>
        <c:ser>
          <c:idx val="0"/>
          <c:order val="0"/>
          <c:tx>
            <c:strRef>
              <c:f>'Calculate from Values'!$H$6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'Calculate from Values'!$A$7:$A$62</c:f>
              <c:numCache>
                <c:formatCode>0</c:formatCode>
                <c:ptCount val="56"/>
                <c:pt idx="0">
                  <c:v>0</c:v>
                </c:pt>
                <c:pt idx="1">
                  <c:v>350</c:v>
                </c:pt>
                <c:pt idx="2">
                  <c:v>700</c:v>
                </c:pt>
                <c:pt idx="3">
                  <c:v>900</c:v>
                </c:pt>
                <c:pt idx="4">
                  <c:v>1000</c:v>
                </c:pt>
                <c:pt idx="5">
                  <c:v>1100</c:v>
                </c:pt>
                <c:pt idx="6">
                  <c:v>1200</c:v>
                </c:pt>
                <c:pt idx="7">
                  <c:v>1300</c:v>
                </c:pt>
                <c:pt idx="8">
                  <c:v>1400</c:v>
                </c:pt>
                <c:pt idx="9">
                  <c:v>1500</c:v>
                </c:pt>
                <c:pt idx="10">
                  <c:v>1600</c:v>
                </c:pt>
                <c:pt idx="11">
                  <c:v>1700</c:v>
                </c:pt>
                <c:pt idx="12">
                  <c:v>1800</c:v>
                </c:pt>
                <c:pt idx="13">
                  <c:v>1850</c:v>
                </c:pt>
                <c:pt idx="14">
                  <c:v>1900</c:v>
                </c:pt>
                <c:pt idx="15">
                  <c:v>1950</c:v>
                </c:pt>
                <c:pt idx="16">
                  <c:v>2000</c:v>
                </c:pt>
                <c:pt idx="17">
                  <c:v>2050</c:v>
                </c:pt>
                <c:pt idx="18">
                  <c:v>2100</c:v>
                </c:pt>
                <c:pt idx="19">
                  <c:v>2150</c:v>
                </c:pt>
                <c:pt idx="20">
                  <c:v>2200</c:v>
                </c:pt>
                <c:pt idx="21">
                  <c:v>2250</c:v>
                </c:pt>
                <c:pt idx="22">
                  <c:v>2300</c:v>
                </c:pt>
                <c:pt idx="23">
                  <c:v>2350</c:v>
                </c:pt>
                <c:pt idx="24">
                  <c:v>2400</c:v>
                </c:pt>
                <c:pt idx="25">
                  <c:v>2450</c:v>
                </c:pt>
                <c:pt idx="26">
                  <c:v>2500</c:v>
                </c:pt>
                <c:pt idx="27">
                  <c:v>2550</c:v>
                </c:pt>
                <c:pt idx="28">
                  <c:v>2600</c:v>
                </c:pt>
                <c:pt idx="29">
                  <c:v>2650</c:v>
                </c:pt>
                <c:pt idx="30">
                  <c:v>2750</c:v>
                </c:pt>
                <c:pt idx="31">
                  <c:v>3000</c:v>
                </c:pt>
                <c:pt idx="32">
                  <c:v>3250</c:v>
                </c:pt>
                <c:pt idx="33">
                  <c:v>3500</c:v>
                </c:pt>
                <c:pt idx="34">
                  <c:v>3750</c:v>
                </c:pt>
                <c:pt idx="35">
                  <c:v>4000</c:v>
                </c:pt>
                <c:pt idx="36">
                  <c:v>4250</c:v>
                </c:pt>
                <c:pt idx="37">
                  <c:v>4500</c:v>
                </c:pt>
                <c:pt idx="38">
                  <c:v>4750</c:v>
                </c:pt>
                <c:pt idx="39">
                  <c:v>5000</c:v>
                </c:pt>
                <c:pt idx="40">
                  <c:v>5250</c:v>
                </c:pt>
                <c:pt idx="41">
                  <c:v>5500</c:v>
                </c:pt>
                <c:pt idx="42">
                  <c:v>5750</c:v>
                </c:pt>
                <c:pt idx="43">
                  <c:v>6000</c:v>
                </c:pt>
                <c:pt idx="44">
                  <c:v>6250</c:v>
                </c:pt>
                <c:pt idx="45">
                  <c:v>6500</c:v>
                </c:pt>
                <c:pt idx="46">
                  <c:v>6750</c:v>
                </c:pt>
                <c:pt idx="47">
                  <c:v>7000</c:v>
                </c:pt>
                <c:pt idx="48">
                  <c:v>7250</c:v>
                </c:pt>
                <c:pt idx="49">
                  <c:v>7500</c:v>
                </c:pt>
                <c:pt idx="50">
                  <c:v>7750</c:v>
                </c:pt>
                <c:pt idx="51">
                  <c:v>8000</c:v>
                </c:pt>
                <c:pt idx="52">
                  <c:v>8250</c:v>
                </c:pt>
                <c:pt idx="53">
                  <c:v>8500</c:v>
                </c:pt>
                <c:pt idx="54">
                  <c:v>8750</c:v>
                </c:pt>
                <c:pt idx="55">
                  <c:v>9000</c:v>
                </c:pt>
              </c:numCache>
            </c:numRef>
          </c:xVal>
          <c:yVal>
            <c:numRef>
              <c:f>'Calculate from Values'!$H$7:$H$62</c:f>
              <c:numCache>
                <c:formatCode>0.0</c:formatCode>
                <c:ptCount val="56"/>
                <c:pt idx="0">
                  <c:v>0</c:v>
                </c:pt>
                <c:pt idx="1">
                  <c:v>44.185878393811095</c:v>
                </c:pt>
                <c:pt idx="2">
                  <c:v>123.39687735156761</c:v>
                </c:pt>
                <c:pt idx="3">
                  <c:v>175.95150729576503</c:v>
                </c:pt>
                <c:pt idx="4">
                  <c:v>203.27767774714209</c:v>
                </c:pt>
                <c:pt idx="5">
                  <c:v>230.44832813903778</c:v>
                </c:pt>
                <c:pt idx="6">
                  <c:v>256.99689829300786</c:v>
                </c:pt>
                <c:pt idx="7">
                  <c:v>282.45682803060816</c:v>
                </c:pt>
                <c:pt idx="8">
                  <c:v>306.36155717339449</c:v>
                </c:pt>
                <c:pt idx="9">
                  <c:v>327.55436351203787</c:v>
                </c:pt>
                <c:pt idx="10">
                  <c:v>346.66856740454972</c:v>
                </c:pt>
                <c:pt idx="11">
                  <c:v>364.55229607857143</c:v>
                </c:pt>
                <c:pt idx="12">
                  <c:v>381.04846759131686</c:v>
                </c:pt>
                <c:pt idx="13">
                  <c:v>388.72713130509032</c:v>
                </c:pt>
                <c:pt idx="14">
                  <c:v>396</c:v>
                </c:pt>
                <c:pt idx="15">
                  <c:v>395.62499999999994</c:v>
                </c:pt>
                <c:pt idx="16">
                  <c:v>394.49999999999994</c:v>
                </c:pt>
                <c:pt idx="17">
                  <c:v>392.625</c:v>
                </c:pt>
                <c:pt idx="18">
                  <c:v>390</c:v>
                </c:pt>
                <c:pt idx="19">
                  <c:v>354.3231321626439</c:v>
                </c:pt>
                <c:pt idx="20" formatCode="0">
                  <c:v>224.53853430025674</c:v>
                </c:pt>
                <c:pt idx="21" formatCode="0">
                  <c:v>0</c:v>
                </c:pt>
                <c:pt idx="22" formatCode="0">
                  <c:v>0</c:v>
                </c:pt>
                <c:pt idx="23" formatCode="0">
                  <c:v>0</c:v>
                </c:pt>
                <c:pt idx="24" formatCode="0">
                  <c:v>0</c:v>
                </c:pt>
                <c:pt idx="25" formatCode="0">
                  <c:v>0</c:v>
                </c:pt>
                <c:pt idx="26" formatCode="0">
                  <c:v>0</c:v>
                </c:pt>
                <c:pt idx="27" formatCode="0">
                  <c:v>0</c:v>
                </c:pt>
                <c:pt idx="28" formatCode="0">
                  <c:v>0</c:v>
                </c:pt>
                <c:pt idx="29" formatCode="0">
                  <c:v>0</c:v>
                </c:pt>
                <c:pt idx="30" formatCode="0">
                  <c:v>0</c:v>
                </c:pt>
                <c:pt idx="31" formatCode="0">
                  <c:v>0</c:v>
                </c:pt>
                <c:pt idx="32" formatCode="0">
                  <c:v>0</c:v>
                </c:pt>
                <c:pt idx="33" formatCode="0">
                  <c:v>0</c:v>
                </c:pt>
                <c:pt idx="34" formatCode="0">
                  <c:v>0</c:v>
                </c:pt>
                <c:pt idx="35" formatCode="0">
                  <c:v>0</c:v>
                </c:pt>
                <c:pt idx="36" formatCode="0">
                  <c:v>0</c:v>
                </c:pt>
                <c:pt idx="37" formatCode="0">
                  <c:v>0</c:v>
                </c:pt>
                <c:pt idx="38" formatCode="0">
                  <c:v>0</c:v>
                </c:pt>
                <c:pt idx="39" formatCode="0">
                  <c:v>0</c:v>
                </c:pt>
                <c:pt idx="40" formatCode="0">
                  <c:v>0</c:v>
                </c:pt>
                <c:pt idx="41" formatCode="0">
                  <c:v>0</c:v>
                </c:pt>
                <c:pt idx="42" formatCode="0">
                  <c:v>0</c:v>
                </c:pt>
                <c:pt idx="43" formatCode="0">
                  <c:v>0</c:v>
                </c:pt>
                <c:pt idx="44" formatCode="0">
                  <c:v>0</c:v>
                </c:pt>
                <c:pt idx="45" formatCode="0">
                  <c:v>0</c:v>
                </c:pt>
                <c:pt idx="46" formatCode="0">
                  <c:v>0</c:v>
                </c:pt>
                <c:pt idx="47" formatCode="0">
                  <c:v>0</c:v>
                </c:pt>
                <c:pt idx="48" formatCode="0">
                  <c:v>0</c:v>
                </c:pt>
                <c:pt idx="49" formatCode="0">
                  <c:v>0</c:v>
                </c:pt>
                <c:pt idx="50" formatCode="0">
                  <c:v>0</c:v>
                </c:pt>
                <c:pt idx="51" formatCode="0">
                  <c:v>0</c:v>
                </c:pt>
                <c:pt idx="52" formatCode="0">
                  <c:v>0</c:v>
                </c:pt>
                <c:pt idx="53" formatCode="0">
                  <c:v>0</c:v>
                </c:pt>
                <c:pt idx="54" formatCode="0">
                  <c:v>0</c:v>
                </c:pt>
                <c:pt idx="55" formatCode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'Calculate from Values'!$I$6</c:f>
              <c:strCache>
                <c:ptCount val="1"/>
                <c:pt idx="0">
                  <c:v>psEco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'Calculate from Values'!$A$7:$A$62</c:f>
              <c:numCache>
                <c:formatCode>0</c:formatCode>
                <c:ptCount val="56"/>
                <c:pt idx="0">
                  <c:v>0</c:v>
                </c:pt>
                <c:pt idx="1">
                  <c:v>350</c:v>
                </c:pt>
                <c:pt idx="2">
                  <c:v>700</c:v>
                </c:pt>
                <c:pt idx="3">
                  <c:v>900</c:v>
                </c:pt>
                <c:pt idx="4">
                  <c:v>1000</c:v>
                </c:pt>
                <c:pt idx="5">
                  <c:v>1100</c:v>
                </c:pt>
                <c:pt idx="6">
                  <c:v>1200</c:v>
                </c:pt>
                <c:pt idx="7">
                  <c:v>1300</c:v>
                </c:pt>
                <c:pt idx="8">
                  <c:v>1400</c:v>
                </c:pt>
                <c:pt idx="9">
                  <c:v>1500</c:v>
                </c:pt>
                <c:pt idx="10">
                  <c:v>1600</c:v>
                </c:pt>
                <c:pt idx="11">
                  <c:v>1700</c:v>
                </c:pt>
                <c:pt idx="12">
                  <c:v>1800</c:v>
                </c:pt>
                <c:pt idx="13">
                  <c:v>1850</c:v>
                </c:pt>
                <c:pt idx="14">
                  <c:v>1900</c:v>
                </c:pt>
                <c:pt idx="15">
                  <c:v>1950</c:v>
                </c:pt>
                <c:pt idx="16">
                  <c:v>2000</c:v>
                </c:pt>
                <c:pt idx="17">
                  <c:v>2050</c:v>
                </c:pt>
                <c:pt idx="18">
                  <c:v>2100</c:v>
                </c:pt>
                <c:pt idx="19">
                  <c:v>2150</c:v>
                </c:pt>
                <c:pt idx="20">
                  <c:v>2200</c:v>
                </c:pt>
                <c:pt idx="21">
                  <c:v>2250</c:v>
                </c:pt>
                <c:pt idx="22">
                  <c:v>2300</c:v>
                </c:pt>
                <c:pt idx="23">
                  <c:v>2350</c:v>
                </c:pt>
                <c:pt idx="24">
                  <c:v>2400</c:v>
                </c:pt>
                <c:pt idx="25">
                  <c:v>2450</c:v>
                </c:pt>
                <c:pt idx="26">
                  <c:v>2500</c:v>
                </c:pt>
                <c:pt idx="27">
                  <c:v>2550</c:v>
                </c:pt>
                <c:pt idx="28">
                  <c:v>2600</c:v>
                </c:pt>
                <c:pt idx="29">
                  <c:v>2650</c:v>
                </c:pt>
                <c:pt idx="30">
                  <c:v>2750</c:v>
                </c:pt>
                <c:pt idx="31">
                  <c:v>3000</c:v>
                </c:pt>
                <c:pt idx="32">
                  <c:v>3250</c:v>
                </c:pt>
                <c:pt idx="33">
                  <c:v>3500</c:v>
                </c:pt>
                <c:pt idx="34">
                  <c:v>3750</c:v>
                </c:pt>
                <c:pt idx="35">
                  <c:v>4000</c:v>
                </c:pt>
                <c:pt idx="36">
                  <c:v>4250</c:v>
                </c:pt>
                <c:pt idx="37">
                  <c:v>4500</c:v>
                </c:pt>
                <c:pt idx="38">
                  <c:v>4750</c:v>
                </c:pt>
                <c:pt idx="39">
                  <c:v>5000</c:v>
                </c:pt>
                <c:pt idx="40">
                  <c:v>5250</c:v>
                </c:pt>
                <c:pt idx="41">
                  <c:v>5500</c:v>
                </c:pt>
                <c:pt idx="42">
                  <c:v>5750</c:v>
                </c:pt>
                <c:pt idx="43">
                  <c:v>6000</c:v>
                </c:pt>
                <c:pt idx="44">
                  <c:v>6250</c:v>
                </c:pt>
                <c:pt idx="45">
                  <c:v>6500</c:v>
                </c:pt>
                <c:pt idx="46">
                  <c:v>6750</c:v>
                </c:pt>
                <c:pt idx="47">
                  <c:v>7000</c:v>
                </c:pt>
                <c:pt idx="48">
                  <c:v>7250</c:v>
                </c:pt>
                <c:pt idx="49">
                  <c:v>7500</c:v>
                </c:pt>
                <c:pt idx="50">
                  <c:v>7750</c:v>
                </c:pt>
                <c:pt idx="51">
                  <c:v>8000</c:v>
                </c:pt>
                <c:pt idx="52">
                  <c:v>8250</c:v>
                </c:pt>
                <c:pt idx="53">
                  <c:v>8500</c:v>
                </c:pt>
                <c:pt idx="54">
                  <c:v>8750</c:v>
                </c:pt>
                <c:pt idx="55">
                  <c:v>9000</c:v>
                </c:pt>
              </c:numCache>
            </c:numRef>
          </c:xVal>
          <c:yVal>
            <c:numRef>
              <c:f>'Calculate from Values'!$I$7:$I$62</c:f>
              <c:numCache>
                <c:formatCode>0.0</c:formatCode>
                <c:ptCount val="56"/>
                <c:pt idx="0">
                  <c:v>0</c:v>
                </c:pt>
                <c:pt idx="1">
                  <c:v>44.185878393811095</c:v>
                </c:pt>
                <c:pt idx="2">
                  <c:v>123.39687735156761</c:v>
                </c:pt>
                <c:pt idx="3">
                  <c:v>175.95150729576503</c:v>
                </c:pt>
                <c:pt idx="4">
                  <c:v>203.27767774714209</c:v>
                </c:pt>
                <c:pt idx="5">
                  <c:v>230.44832813903778</c:v>
                </c:pt>
                <c:pt idx="6">
                  <c:v>256.99689829300786</c:v>
                </c:pt>
                <c:pt idx="7">
                  <c:v>282.45682803060816</c:v>
                </c:pt>
                <c:pt idx="8">
                  <c:v>306.36155717339449</c:v>
                </c:pt>
                <c:pt idx="9">
                  <c:v>327.55436351203787</c:v>
                </c:pt>
                <c:pt idx="10">
                  <c:v>346.66856740454972</c:v>
                </c:pt>
                <c:pt idx="11">
                  <c:v>364.55229607857143</c:v>
                </c:pt>
                <c:pt idx="12">
                  <c:v>381.04846759131686</c:v>
                </c:pt>
                <c:pt idx="13">
                  <c:v>388.72713130509032</c:v>
                </c:pt>
                <c:pt idx="14">
                  <c:v>396</c:v>
                </c:pt>
                <c:pt idx="15">
                  <c:v>395.62499999999994</c:v>
                </c:pt>
                <c:pt idx="16">
                  <c:v>394.49999999999994</c:v>
                </c:pt>
                <c:pt idx="17">
                  <c:v>392.625</c:v>
                </c:pt>
                <c:pt idx="18">
                  <c:v>390</c:v>
                </c:pt>
                <c:pt idx="19">
                  <c:v>354.3231321626439</c:v>
                </c:pt>
                <c:pt idx="20" formatCode="0">
                  <c:v>224.53853430025674</c:v>
                </c:pt>
                <c:pt idx="21" formatCode="0">
                  <c:v>0</c:v>
                </c:pt>
                <c:pt idx="22" formatCode="0">
                  <c:v>0</c:v>
                </c:pt>
                <c:pt idx="23" formatCode="0">
                  <c:v>0</c:v>
                </c:pt>
                <c:pt idx="24" formatCode="0">
                  <c:v>0</c:v>
                </c:pt>
                <c:pt idx="25" formatCode="0">
                  <c:v>0</c:v>
                </c:pt>
                <c:pt idx="26" formatCode="0">
                  <c:v>0</c:v>
                </c:pt>
                <c:pt idx="27" formatCode="0">
                  <c:v>0</c:v>
                </c:pt>
                <c:pt idx="28" formatCode="0">
                  <c:v>0</c:v>
                </c:pt>
                <c:pt idx="29" formatCode="0">
                  <c:v>0</c:v>
                </c:pt>
                <c:pt idx="30" formatCode="0">
                  <c:v>0</c:v>
                </c:pt>
                <c:pt idx="31" formatCode="0">
                  <c:v>0</c:v>
                </c:pt>
                <c:pt idx="32" formatCode="0">
                  <c:v>0</c:v>
                </c:pt>
                <c:pt idx="33" formatCode="0">
                  <c:v>0</c:v>
                </c:pt>
                <c:pt idx="34" formatCode="0">
                  <c:v>0</c:v>
                </c:pt>
                <c:pt idx="35" formatCode="0">
                  <c:v>0</c:v>
                </c:pt>
                <c:pt idx="36" formatCode="0">
                  <c:v>0</c:v>
                </c:pt>
                <c:pt idx="37" formatCode="0">
                  <c:v>0</c:v>
                </c:pt>
                <c:pt idx="38" formatCode="0">
                  <c:v>0</c:v>
                </c:pt>
                <c:pt idx="39" formatCode="0">
                  <c:v>0</c:v>
                </c:pt>
                <c:pt idx="40" formatCode="0">
                  <c:v>0</c:v>
                </c:pt>
                <c:pt idx="41" formatCode="0">
                  <c:v>0</c:v>
                </c:pt>
                <c:pt idx="42" formatCode="0">
                  <c:v>0</c:v>
                </c:pt>
                <c:pt idx="43" formatCode="0">
                  <c:v>0</c:v>
                </c:pt>
                <c:pt idx="44" formatCode="0">
                  <c:v>0</c:v>
                </c:pt>
                <c:pt idx="45" formatCode="0">
                  <c:v>0</c:v>
                </c:pt>
                <c:pt idx="46" formatCode="0">
                  <c:v>0</c:v>
                </c:pt>
                <c:pt idx="47" formatCode="0">
                  <c:v>0</c:v>
                </c:pt>
                <c:pt idx="48" formatCode="0">
                  <c:v>0</c:v>
                </c:pt>
                <c:pt idx="49" formatCode="0">
                  <c:v>0</c:v>
                </c:pt>
                <c:pt idx="50" formatCode="0">
                  <c:v>0</c:v>
                </c:pt>
                <c:pt idx="51" formatCode="0">
                  <c:v>0</c:v>
                </c:pt>
                <c:pt idx="52" formatCode="0">
                  <c:v>0</c:v>
                </c:pt>
                <c:pt idx="53" formatCode="0">
                  <c:v>0</c:v>
                </c:pt>
                <c:pt idx="54" formatCode="0">
                  <c:v>0</c:v>
                </c:pt>
                <c:pt idx="55" formatCode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989256"/>
        <c:axId val="500987296"/>
      </c:scatterChart>
      <c:valAx>
        <c:axId val="500986904"/>
        <c:scaling>
          <c:orientation val="minMax"/>
          <c:max val="9000"/>
          <c:min val="7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87688"/>
        <c:crosses val="autoZero"/>
        <c:crossBetween val="midCat"/>
        <c:majorUnit val="250"/>
      </c:valAx>
      <c:valAx>
        <c:axId val="50098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86904"/>
        <c:crosses val="autoZero"/>
        <c:crossBetween val="midCat"/>
      </c:valAx>
      <c:valAx>
        <c:axId val="50098729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89256"/>
        <c:crosses val="max"/>
        <c:crossBetween val="midCat"/>
      </c:valAx>
      <c:valAx>
        <c:axId val="500989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00987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7.0013718915204581E-2"/>
          <c:y val="3.5339353154546407E-2"/>
          <c:w val="6.0738902528053279E-2"/>
          <c:h val="0.123119859090684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56974962060876E-2"/>
          <c:y val="4.9052396878483832E-2"/>
          <c:w val="0.93796827046547449"/>
          <c:h val="0.75293954476426228"/>
        </c:manualLayout>
      </c:layout>
      <c:scatterChart>
        <c:scatterStyle val="lineMarker"/>
        <c:varyColors val="0"/>
        <c:ser>
          <c:idx val="7"/>
          <c:order val="0"/>
          <c:tx>
            <c:strRef>
              <c:f>'Calculate from Values'!$J$6</c:f>
              <c:strCache>
                <c:ptCount val="1"/>
                <c:pt idx="0">
                  <c:v>fuelUsageRatio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'Calculate from Values'!$A$7:$A$62</c:f>
              <c:numCache>
                <c:formatCode>0</c:formatCode>
                <c:ptCount val="56"/>
                <c:pt idx="0">
                  <c:v>0</c:v>
                </c:pt>
                <c:pt idx="1">
                  <c:v>350</c:v>
                </c:pt>
                <c:pt idx="2">
                  <c:v>700</c:v>
                </c:pt>
                <c:pt idx="3">
                  <c:v>900</c:v>
                </c:pt>
                <c:pt idx="4">
                  <c:v>1000</c:v>
                </c:pt>
                <c:pt idx="5">
                  <c:v>1100</c:v>
                </c:pt>
                <c:pt idx="6">
                  <c:v>1200</c:v>
                </c:pt>
                <c:pt idx="7">
                  <c:v>1300</c:v>
                </c:pt>
                <c:pt idx="8">
                  <c:v>1400</c:v>
                </c:pt>
                <c:pt idx="9">
                  <c:v>1500</c:v>
                </c:pt>
                <c:pt idx="10">
                  <c:v>1600</c:v>
                </c:pt>
                <c:pt idx="11">
                  <c:v>1700</c:v>
                </c:pt>
                <c:pt idx="12">
                  <c:v>1800</c:v>
                </c:pt>
                <c:pt idx="13">
                  <c:v>1850</c:v>
                </c:pt>
                <c:pt idx="14">
                  <c:v>1900</c:v>
                </c:pt>
                <c:pt idx="15">
                  <c:v>1950</c:v>
                </c:pt>
                <c:pt idx="16">
                  <c:v>2000</c:v>
                </c:pt>
                <c:pt idx="17">
                  <c:v>2050</c:v>
                </c:pt>
                <c:pt idx="18">
                  <c:v>2100</c:v>
                </c:pt>
                <c:pt idx="19">
                  <c:v>2150</c:v>
                </c:pt>
                <c:pt idx="20">
                  <c:v>2200</c:v>
                </c:pt>
                <c:pt idx="21">
                  <c:v>2250</c:v>
                </c:pt>
                <c:pt idx="22">
                  <c:v>2300</c:v>
                </c:pt>
                <c:pt idx="23">
                  <c:v>2350</c:v>
                </c:pt>
                <c:pt idx="24">
                  <c:v>2400</c:v>
                </c:pt>
                <c:pt idx="25">
                  <c:v>2450</c:v>
                </c:pt>
                <c:pt idx="26">
                  <c:v>2500</c:v>
                </c:pt>
                <c:pt idx="27">
                  <c:v>2550</c:v>
                </c:pt>
                <c:pt idx="28">
                  <c:v>2600</c:v>
                </c:pt>
                <c:pt idx="29">
                  <c:v>2650</c:v>
                </c:pt>
                <c:pt idx="30">
                  <c:v>2750</c:v>
                </c:pt>
                <c:pt idx="31">
                  <c:v>3000</c:v>
                </c:pt>
                <c:pt idx="32">
                  <c:v>3250</c:v>
                </c:pt>
                <c:pt idx="33">
                  <c:v>3500</c:v>
                </c:pt>
                <c:pt idx="34">
                  <c:v>3750</c:v>
                </c:pt>
                <c:pt idx="35">
                  <c:v>4000</c:v>
                </c:pt>
                <c:pt idx="36">
                  <c:v>4250</c:v>
                </c:pt>
                <c:pt idx="37">
                  <c:v>4500</c:v>
                </c:pt>
                <c:pt idx="38">
                  <c:v>4750</c:v>
                </c:pt>
                <c:pt idx="39">
                  <c:v>5000</c:v>
                </c:pt>
                <c:pt idx="40">
                  <c:v>5250</c:v>
                </c:pt>
                <c:pt idx="41">
                  <c:v>5500</c:v>
                </c:pt>
                <c:pt idx="42">
                  <c:v>5750</c:v>
                </c:pt>
                <c:pt idx="43">
                  <c:v>6000</c:v>
                </c:pt>
                <c:pt idx="44">
                  <c:v>6250</c:v>
                </c:pt>
                <c:pt idx="45">
                  <c:v>6500</c:v>
                </c:pt>
                <c:pt idx="46">
                  <c:v>6750</c:v>
                </c:pt>
                <c:pt idx="47">
                  <c:v>7000</c:v>
                </c:pt>
                <c:pt idx="48">
                  <c:v>7250</c:v>
                </c:pt>
                <c:pt idx="49">
                  <c:v>7500</c:v>
                </c:pt>
                <c:pt idx="50">
                  <c:v>7750</c:v>
                </c:pt>
                <c:pt idx="51">
                  <c:v>8000</c:v>
                </c:pt>
                <c:pt idx="52">
                  <c:v>8250</c:v>
                </c:pt>
                <c:pt idx="53">
                  <c:v>8500</c:v>
                </c:pt>
                <c:pt idx="54">
                  <c:v>8750</c:v>
                </c:pt>
                <c:pt idx="55">
                  <c:v>9000</c:v>
                </c:pt>
              </c:numCache>
            </c:numRef>
          </c:xVal>
          <c:yVal>
            <c:numRef>
              <c:f>'Calculate from Values'!$J$7:$J$62</c:f>
              <c:numCache>
                <c:formatCode>0.0</c:formatCode>
                <c:ptCount val="56"/>
                <c:pt idx="0">
                  <c:v>270.14201183431942</c:v>
                </c:pt>
                <c:pt idx="1">
                  <c:v>242.47682445759364</c:v>
                </c:pt>
                <c:pt idx="2">
                  <c:v>223.26824457593685</c:v>
                </c:pt>
                <c:pt idx="3">
                  <c:v>216.08875739644969</c:v>
                </c:pt>
                <c:pt idx="4">
                  <c:v>213.53451676528599</c:v>
                </c:pt>
                <c:pt idx="5">
                  <c:v>211.67061143984222</c:v>
                </c:pt>
                <c:pt idx="6">
                  <c:v>210.49704142011834</c:v>
                </c:pt>
                <c:pt idx="7">
                  <c:v>210.01380670611439</c:v>
                </c:pt>
                <c:pt idx="8">
                  <c:v>210.24545255314487</c:v>
                </c:pt>
                <c:pt idx="9">
                  <c:v>211.24260355029585</c:v>
                </c:pt>
                <c:pt idx="10">
                  <c:v>213.00679377602455</c:v>
                </c:pt>
                <c:pt idx="11">
                  <c:v>215.53802323033091</c:v>
                </c:pt>
                <c:pt idx="12">
                  <c:v>218.83629191321498</c:v>
                </c:pt>
                <c:pt idx="13">
                  <c:v>220.77306596537366</c:v>
                </c:pt>
                <c:pt idx="14">
                  <c:v>222.90159982467674</c:v>
                </c:pt>
                <c:pt idx="15">
                  <c:v>225.22189349112426</c:v>
                </c:pt>
                <c:pt idx="16">
                  <c:v>227.73394696471618</c:v>
                </c:pt>
                <c:pt idx="17">
                  <c:v>230.43776024545252</c:v>
                </c:pt>
                <c:pt idx="18">
                  <c:v>233.33333333333331</c:v>
                </c:pt>
                <c:pt idx="19">
                  <c:v>248.55408586904659</c:v>
                </c:pt>
                <c:pt idx="20">
                  <c:v>319.43491199545491</c:v>
                </c:pt>
                <c:pt idx="21">
                  <c:v>466.66666666666663</c:v>
                </c:pt>
                <c:pt idx="22">
                  <c:v>466.66666666666663</c:v>
                </c:pt>
                <c:pt idx="23">
                  <c:v>466.66666666666663</c:v>
                </c:pt>
                <c:pt idx="24">
                  <c:v>466.66666666666663</c:v>
                </c:pt>
                <c:pt idx="25">
                  <c:v>466.66666666666663</c:v>
                </c:pt>
                <c:pt idx="26">
                  <c:v>466.66666666666663</c:v>
                </c:pt>
                <c:pt idx="27">
                  <c:v>466.66666666666663</c:v>
                </c:pt>
                <c:pt idx="28">
                  <c:v>466.66666666666663</c:v>
                </c:pt>
                <c:pt idx="29">
                  <c:v>466.66666666666663</c:v>
                </c:pt>
                <c:pt idx="30">
                  <c:v>466.66666666666663</c:v>
                </c:pt>
                <c:pt idx="31">
                  <c:v>466.66666666666663</c:v>
                </c:pt>
                <c:pt idx="32">
                  <c:v>466.66666666666663</c:v>
                </c:pt>
                <c:pt idx="33">
                  <c:v>466.66666666666663</c:v>
                </c:pt>
                <c:pt idx="34">
                  <c:v>466.66666666666663</c:v>
                </c:pt>
                <c:pt idx="35">
                  <c:v>466.66666666666663</c:v>
                </c:pt>
                <c:pt idx="36">
                  <c:v>466.66666666666663</c:v>
                </c:pt>
                <c:pt idx="37">
                  <c:v>466.66666666666663</c:v>
                </c:pt>
                <c:pt idx="38">
                  <c:v>466.66666666666663</c:v>
                </c:pt>
                <c:pt idx="39">
                  <c:v>466.66666666666663</c:v>
                </c:pt>
                <c:pt idx="40">
                  <c:v>466.66666666666663</c:v>
                </c:pt>
                <c:pt idx="41">
                  <c:v>466.66666666666663</c:v>
                </c:pt>
                <c:pt idx="42">
                  <c:v>466.66666666666663</c:v>
                </c:pt>
                <c:pt idx="43">
                  <c:v>466.66666666666663</c:v>
                </c:pt>
                <c:pt idx="44">
                  <c:v>466.66666666666663</c:v>
                </c:pt>
                <c:pt idx="45">
                  <c:v>466.66666666666663</c:v>
                </c:pt>
                <c:pt idx="46">
                  <c:v>466.66666666666663</c:v>
                </c:pt>
                <c:pt idx="47">
                  <c:v>466.66666666666663</c:v>
                </c:pt>
                <c:pt idx="48">
                  <c:v>466.66666666666663</c:v>
                </c:pt>
                <c:pt idx="49">
                  <c:v>466.66666666666663</c:v>
                </c:pt>
                <c:pt idx="50">
                  <c:v>466.66666666666663</c:v>
                </c:pt>
                <c:pt idx="51">
                  <c:v>466.66666666666663</c:v>
                </c:pt>
                <c:pt idx="52">
                  <c:v>466.66666666666663</c:v>
                </c:pt>
                <c:pt idx="53">
                  <c:v>466.66666666666663</c:v>
                </c:pt>
                <c:pt idx="54">
                  <c:v>466.66666666666663</c:v>
                </c:pt>
                <c:pt idx="55">
                  <c:v>466.66666666666663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988080"/>
        <c:axId val="500982592"/>
      </c:scatterChart>
      <c:valAx>
        <c:axId val="500988080"/>
        <c:scaling>
          <c:orientation val="minMax"/>
          <c:max val="9000"/>
          <c:min val="7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82592"/>
        <c:crosses val="autoZero"/>
        <c:crossBetween val="midCat"/>
        <c:majorUnit val="250"/>
      </c:valAx>
      <c:valAx>
        <c:axId val="500982592"/>
        <c:scaling>
          <c:orientation val="minMax"/>
          <c:max val="260"/>
          <c:min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88080"/>
        <c:crosses val="autoZero"/>
        <c:crossBetween val="midCat"/>
        <c:majorUnit val="20"/>
        <c:min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7522415150043117E-2"/>
          <c:y val="0.15468183533914445"/>
          <c:w val="8.1528476562206229E-2"/>
          <c:h val="7.52513628104179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pto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Sheet1!$A$2:$A$19</c:f>
              <c:numCache>
                <c:formatCode>General</c:formatCode>
                <c:ptCount val="18"/>
                <c:pt idx="0">
                  <c:v>800</c:v>
                </c:pt>
                <c:pt idx="1">
                  <c:v>900</c:v>
                </c:pt>
                <c:pt idx="2">
                  <c:v>1000</c:v>
                </c:pt>
                <c:pt idx="3">
                  <c:v>1100</c:v>
                </c:pt>
                <c:pt idx="4">
                  <c:v>1200</c:v>
                </c:pt>
                <c:pt idx="5">
                  <c:v>1300</c:v>
                </c:pt>
                <c:pt idx="6">
                  <c:v>1400</c:v>
                </c:pt>
                <c:pt idx="7">
                  <c:v>1500</c:v>
                </c:pt>
                <c:pt idx="8">
                  <c:v>1600</c:v>
                </c:pt>
                <c:pt idx="9">
                  <c:v>1700</c:v>
                </c:pt>
                <c:pt idx="10">
                  <c:v>1800</c:v>
                </c:pt>
                <c:pt idx="11">
                  <c:v>1900</c:v>
                </c:pt>
                <c:pt idx="12">
                  <c:v>2000</c:v>
                </c:pt>
                <c:pt idx="13">
                  <c:v>2100</c:v>
                </c:pt>
                <c:pt idx="14">
                  <c:v>2200</c:v>
                </c:pt>
                <c:pt idx="15">
                  <c:v>2300</c:v>
                </c:pt>
                <c:pt idx="16">
                  <c:v>2400</c:v>
                </c:pt>
                <c:pt idx="17">
                  <c:v>2500</c:v>
                </c:pt>
              </c:numCache>
            </c:numRef>
          </c:xVal>
          <c:yVal>
            <c:numRef>
              <c:f>Sheet1!$C$2:$C$19</c:f>
              <c:numCache>
                <c:formatCode>General</c:formatCode>
                <c:ptCount val="18"/>
                <c:pt idx="0">
                  <c:v>2444</c:v>
                </c:pt>
                <c:pt idx="1">
                  <c:v>2566.1999999999998</c:v>
                </c:pt>
                <c:pt idx="2">
                  <c:v>2632</c:v>
                </c:pt>
                <c:pt idx="3">
                  <c:v>2679</c:v>
                </c:pt>
                <c:pt idx="4">
                  <c:v>2716.6</c:v>
                </c:pt>
                <c:pt idx="5">
                  <c:v>2744.7999999999997</c:v>
                </c:pt>
                <c:pt idx="6">
                  <c:v>2764.54</c:v>
                </c:pt>
                <c:pt idx="7">
                  <c:v>2726</c:v>
                </c:pt>
                <c:pt idx="8">
                  <c:v>2660.2</c:v>
                </c:pt>
                <c:pt idx="9">
                  <c:v>2575.6</c:v>
                </c:pt>
                <c:pt idx="10">
                  <c:v>2491</c:v>
                </c:pt>
                <c:pt idx="11">
                  <c:v>2404.0572755417952</c:v>
                </c:pt>
                <c:pt idx="12">
                  <c:v>2283.8544117647057</c:v>
                </c:pt>
                <c:pt idx="13">
                  <c:v>2175.09943977591</c:v>
                </c:pt>
                <c:pt idx="14">
                  <c:v>1880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985336"/>
        <c:axId val="500980240"/>
      </c:scatterChart>
      <c:valAx>
        <c:axId val="500985336"/>
        <c:scaling>
          <c:orientation val="minMax"/>
          <c:max val="2700"/>
          <c:min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80240"/>
        <c:crosses val="autoZero"/>
        <c:crossBetween val="midCat"/>
      </c:valAx>
      <c:valAx>
        <c:axId val="50098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85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Sheet2!$G$14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Sheet2!$A$15:$A$75</c:f>
              <c:numCache>
                <c:formatCode>General</c:formatCode>
                <c:ptCount val="6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</c:numCache>
            </c:numRef>
          </c:xVal>
          <c:yVal>
            <c:numRef>
              <c:f>Sheet2!$G$15:$G$75</c:f>
              <c:numCache>
                <c:formatCode>General</c:formatCode>
                <c:ptCount val="61"/>
                <c:pt idx="0">
                  <c:v>0</c:v>
                </c:pt>
                <c:pt idx="1">
                  <c:v>0.70930238763689701</c:v>
                </c:pt>
                <c:pt idx="2">
                  <c:v>2.7949765536080124</c:v>
                </c:pt>
                <c:pt idx="3">
                  <c:v>6.1936730025039832</c:v>
                </c:pt>
                <c:pt idx="4">
                  <c:v>10.842042238915447</c:v>
                </c:pt>
                <c:pt idx="5">
                  <c:v>16.676734767433036</c:v>
                </c:pt>
                <c:pt idx="6">
                  <c:v>23.634401092647394</c:v>
                </c:pt>
                <c:pt idx="7">
                  <c:v>31.651691719149149</c:v>
                </c:pt>
                <c:pt idx="8">
                  <c:v>40.665257151528934</c:v>
                </c:pt>
                <c:pt idx="9">
                  <c:v>50.611747894377416</c:v>
                </c:pt>
                <c:pt idx="10">
                  <c:v>61.42781445228519</c:v>
                </c:pt>
                <c:pt idx="11">
                  <c:v>73.05010732984293</c:v>
                </c:pt>
                <c:pt idx="12">
                  <c:v>85.415277031641239</c:v>
                </c:pt>
                <c:pt idx="13">
                  <c:v>98.459974062270788</c:v>
                </c:pt>
                <c:pt idx="14">
                  <c:v>112.12084892632215</c:v>
                </c:pt>
                <c:pt idx="15">
                  <c:v>126.33455212838604</c:v>
                </c:pt>
                <c:pt idx="16">
                  <c:v>141.03773417305308</c:v>
                </c:pt>
                <c:pt idx="17">
                  <c:v>156.16704556491391</c:v>
                </c:pt>
                <c:pt idx="18">
                  <c:v>171.65913680855905</c:v>
                </c:pt>
                <c:pt idx="19">
                  <c:v>187.4506584085793</c:v>
                </c:pt>
                <c:pt idx="20">
                  <c:v>203.47826086956519</c:v>
                </c:pt>
                <c:pt idx="21">
                  <c:v>219.05919222406766</c:v>
                </c:pt>
                <c:pt idx="22">
                  <c:v>233.57521820004828</c:v>
                </c:pt>
                <c:pt idx="23">
                  <c:v>247.09709521039366</c:v>
                </c:pt>
                <c:pt idx="24">
                  <c:v>259.74535215489664</c:v>
                </c:pt>
                <c:pt idx="25">
                  <c:v>271.69029042025642</c:v>
                </c:pt>
                <c:pt idx="26">
                  <c:v>283.1519838800786</c:v>
                </c:pt>
                <c:pt idx="27">
                  <c:v>294.40027889487487</c:v>
                </c:pt>
                <c:pt idx="28">
                  <c:v>305.75479431206338</c:v>
                </c:pt>
                <c:pt idx="29">
                  <c:v>317.58492146596865</c:v>
                </c:pt>
                <c:pt idx="30">
                  <c:v>327.73960427227809</c:v>
                </c:pt>
                <c:pt idx="31">
                  <c:v>337.92541132205014</c:v>
                </c:pt>
                <c:pt idx="32">
                  <c:v>348.00230087828015</c:v>
                </c:pt>
                <c:pt idx="33">
                  <c:v>357.81170712793971</c:v>
                </c:pt>
                <c:pt idx="34">
                  <c:v>367.17654018197612</c:v>
                </c:pt>
                <c:pt idx="35">
                  <c:v>375.90118607531303</c:v>
                </c:pt>
                <c:pt idx="36">
                  <c:v>383.77150676684971</c:v>
                </c:pt>
                <c:pt idx="37">
                  <c:v>390.55484013946159</c:v>
                </c:pt>
                <c:pt idx="38">
                  <c:v>396</c:v>
                </c:pt>
                <c:pt idx="39">
                  <c:v>396.949942791762</c:v>
                </c:pt>
                <c:pt idx="40">
                  <c:v>397.41418764302063</c:v>
                </c:pt>
                <c:pt idx="41">
                  <c:v>397.39273455377577</c:v>
                </c:pt>
                <c:pt idx="42">
                  <c:v>396.88558352402748</c:v>
                </c:pt>
                <c:pt idx="43">
                  <c:v>395.89273455377577</c:v>
                </c:pt>
                <c:pt idx="44">
                  <c:v>394.41418764302057</c:v>
                </c:pt>
                <c:pt idx="45">
                  <c:v>392.449942791762</c:v>
                </c:pt>
                <c:pt idx="46">
                  <c:v>390.00000000000006</c:v>
                </c:pt>
                <c:pt idx="47">
                  <c:v>346.55012474574119</c:v>
                </c:pt>
                <c:pt idx="48">
                  <c:v>281.19603356216629</c:v>
                </c:pt>
                <c:pt idx="49">
                  <c:v>203.25504147597258</c:v>
                </c:pt>
                <c:pt idx="50">
                  <c:v>122.90554284261384</c:v>
                </c:pt>
                <c:pt idx="51">
                  <c:v>51.187011346300501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978672"/>
        <c:axId val="500981416"/>
      </c:scatterChart>
      <c:scatterChart>
        <c:scatterStyle val="smoothMarker"/>
        <c:varyColors val="0"/>
        <c:ser>
          <c:idx val="1"/>
          <c:order val="1"/>
          <c:tx>
            <c:strRef>
              <c:f>Sheet2!$H$14</c:f>
              <c:strCache>
                <c:ptCount val="1"/>
                <c:pt idx="0">
                  <c:v>Nm2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Sheet2!$A$15:$A$75</c:f>
              <c:numCache>
                <c:formatCode>General</c:formatCode>
                <c:ptCount val="6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</c:numCache>
            </c:numRef>
          </c:xVal>
          <c:yVal>
            <c:numRef>
              <c:f>Sheet2!$H$15:$H$75</c:f>
              <c:numCache>
                <c:formatCode>General</c:formatCode>
                <c:ptCount val="61"/>
                <c:pt idx="0">
                  <c:v>0</c:v>
                </c:pt>
                <c:pt idx="1">
                  <c:v>99.615261793123025</c:v>
                </c:pt>
                <c:pt idx="2">
                  <c:v>196.26489769820969</c:v>
                </c:pt>
                <c:pt idx="3">
                  <c:v>289.94890771525996</c:v>
                </c:pt>
                <c:pt idx="4">
                  <c:v>380.6672918442739</c:v>
                </c:pt>
                <c:pt idx="5">
                  <c:v>468.42005008525143</c:v>
                </c:pt>
                <c:pt idx="6">
                  <c:v>553.2071824381926</c:v>
                </c:pt>
                <c:pt idx="7">
                  <c:v>635.0286889030973</c:v>
                </c:pt>
                <c:pt idx="8">
                  <c:v>713.88456947996565</c:v>
                </c:pt>
                <c:pt idx="9">
                  <c:v>789.77482416879786</c:v>
                </c:pt>
                <c:pt idx="10">
                  <c:v>862.69945296959349</c:v>
                </c:pt>
                <c:pt idx="11">
                  <c:v>932.65845588235288</c:v>
                </c:pt>
                <c:pt idx="12">
                  <c:v>999.65183290707557</c:v>
                </c:pt>
                <c:pt idx="13">
                  <c:v>1063.6795840437624</c:v>
                </c:pt>
                <c:pt idx="14">
                  <c:v>1124.7417092924125</c:v>
                </c:pt>
                <c:pt idx="15">
                  <c:v>1182.8382086530262</c:v>
                </c:pt>
                <c:pt idx="16">
                  <c:v>1237.9690821256038</c:v>
                </c:pt>
                <c:pt idx="17">
                  <c:v>1290.1343297101448</c:v>
                </c:pt>
                <c:pt idx="18">
                  <c:v>1339.3339514066495</c:v>
                </c:pt>
                <c:pt idx="19">
                  <c:v>1385.5679472151178</c:v>
                </c:pt>
                <c:pt idx="20">
                  <c:v>1428.8363171355497</c:v>
                </c:pt>
                <c:pt idx="21">
                  <c:v>1464.9966986973711</c:v>
                </c:pt>
                <c:pt idx="22">
                  <c:v>1491.071747199506</c:v>
                </c:pt>
                <c:pt idx="23">
                  <c:v>1508.8089892962016</c:v>
                </c:pt>
                <c:pt idx="24">
                  <c:v>1519.955951641705</c:v>
                </c:pt>
                <c:pt idx="25">
                  <c:v>1526.2601608902642</c:v>
                </c:pt>
                <c:pt idx="26">
                  <c:v>1529.4691436961259</c:v>
                </c:pt>
                <c:pt idx="27">
                  <c:v>1531.3304267135375</c:v>
                </c:pt>
                <c:pt idx="28">
                  <c:v>1533.5915365967464</c:v>
                </c:pt>
                <c:pt idx="29">
                  <c:v>1538</c:v>
                </c:pt>
                <c:pt idx="30">
                  <c:v>1534.2711866667921</c:v>
                </c:pt>
                <c:pt idx="31">
                  <c:v>1530.9239459798762</c:v>
                </c:pt>
                <c:pt idx="32">
                  <c:v>1527.3078921817901</c:v>
                </c:pt>
                <c:pt idx="33">
                  <c:v>1522.772639515073</c:v>
                </c:pt>
                <c:pt idx="34">
                  <c:v>1516.6678022222629</c:v>
                </c:pt>
                <c:pt idx="35">
                  <c:v>1508.3429945458988</c:v>
                </c:pt>
                <c:pt idx="36">
                  <c:v>1497.147830728519</c:v>
                </c:pt>
                <c:pt idx="37">
                  <c:v>1482.4319250126621</c:v>
                </c:pt>
                <c:pt idx="38">
                  <c:v>1463.5448916408668</c:v>
                </c:pt>
                <c:pt idx="39">
                  <c:v>1429.438896554045</c:v>
                </c:pt>
                <c:pt idx="40">
                  <c:v>1395.3329014672231</c:v>
                </c:pt>
                <c:pt idx="41">
                  <c:v>1361.226906380401</c:v>
                </c:pt>
                <c:pt idx="42">
                  <c:v>1327.1209112935792</c:v>
                </c:pt>
                <c:pt idx="43">
                  <c:v>1293.0149162067573</c:v>
                </c:pt>
                <c:pt idx="44">
                  <c:v>1258.9089211199353</c:v>
                </c:pt>
                <c:pt idx="45">
                  <c:v>1224.8029260331134</c:v>
                </c:pt>
                <c:pt idx="46">
                  <c:v>1190.6969309462916</c:v>
                </c:pt>
                <c:pt idx="47">
                  <c:v>1035.5299409642766</c:v>
                </c:pt>
                <c:pt idx="48">
                  <c:v>822.73962025695096</c:v>
                </c:pt>
                <c:pt idx="49">
                  <c:v>582.55871731558761</c:v>
                </c:pt>
                <c:pt idx="50">
                  <c:v>345.21998063145941</c:v>
                </c:pt>
                <c:pt idx="51">
                  <c:v>140.95615869583904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979064"/>
        <c:axId val="500981024"/>
      </c:scatterChart>
      <c:valAx>
        <c:axId val="50097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81416"/>
        <c:crosses val="autoZero"/>
        <c:crossBetween val="midCat"/>
      </c:valAx>
      <c:valAx>
        <c:axId val="500981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78672"/>
        <c:crosses val="autoZero"/>
        <c:crossBetween val="midCat"/>
      </c:valAx>
      <c:valAx>
        <c:axId val="500981024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79064"/>
        <c:crosses val="max"/>
        <c:crossBetween val="midCat"/>
      </c:valAx>
      <c:valAx>
        <c:axId val="500979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0981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723900</xdr:colOff>
      <xdr:row>4</xdr:row>
      <xdr:rowOff>28575</xdr:rowOff>
    </xdr:from>
    <xdr:to>
      <xdr:col>67</xdr:col>
      <xdr:colOff>171449</xdr:colOff>
      <xdr:row>30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76200</xdr:colOff>
      <xdr:row>30</xdr:row>
      <xdr:rowOff>66676</xdr:rowOff>
    </xdr:from>
    <xdr:to>
      <xdr:col>65</xdr:col>
      <xdr:colOff>276226</xdr:colOff>
      <xdr:row>43</xdr:row>
      <xdr:rowOff>28576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1</xdr:row>
      <xdr:rowOff>47624</xdr:rowOff>
    </xdr:from>
    <xdr:to>
      <xdr:col>19</xdr:col>
      <xdr:colOff>590550</xdr:colOff>
      <xdr:row>46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390525</xdr:colOff>
      <xdr:row>9</xdr:row>
      <xdr:rowOff>95250</xdr:rowOff>
    </xdr:from>
    <xdr:to>
      <xdr:col>23</xdr:col>
      <xdr:colOff>285749</xdr:colOff>
      <xdr:row>48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4" name="Table15" displayName="Table15" ref="A6:Y62" totalsRowShown="0" headerRowDxfId="100" dataDxfId="99">
  <tableColumns count="25">
    <tableColumn id="1" name="rpm" dataDxfId="98"/>
    <tableColumn id="7" name="rawData" dataDxfId="97">
      <calculatedColumnFormula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calculatedColumnFormula>
    </tableColumn>
    <tableColumn id="9" name="manualData" dataDxfId="96"/>
    <tableColumn id="12" name="rawDataEco" dataDxfId="95">
      <calculatedColumnFormula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calculatedColumnFormula>
    </tableColumn>
    <tableColumn id="11" name="manDataEco" dataDxfId="94"/>
    <tableColumn id="4" name="motor" dataDxfId="93">
      <calculatedColumnFormula>Table36[Factor]*IF(Table15[[#This Row],[manualData]]&gt;0,Table15[[#This Row],[manualData]],Table15[[#This Row],[rawData]])</calculatedColumnFormula>
    </tableColumn>
    <tableColumn id="14" name="motorEco" dataDxfId="92">
      <calculatedColumnFormula>Table36[Factor]*IF(Table15[[#This Row],[manDataEco]]&gt;0,Table15[[#This Row],[manDataEco]],Table15[[#This Row],[rawDataEco]])</calculatedColumnFormula>
    </tableColumn>
    <tableColumn id="3" name="ps" dataDxfId="91">
      <calculatedColumnFormula>1.36*Table15[[#This Row],[rpm]]*Table15[[#This Row],[motor]]/9550</calculatedColumnFormula>
    </tableColumn>
    <tableColumn id="13" name="psEco" dataDxfId="90">
      <calculatedColumnFormula>1.36*Table15[[#This Row],[rpm]]*Table15[[#This Row],[motorEco]]/9550</calculatedColumnFormula>
    </tableColumn>
    <tableColumn id="10" name="fuelUsageRatio" dataDxfId="89">
      <calculatedColumnFormula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calculatedColumnFormula>
    </tableColumn>
    <tableColumn id="5" name="xml" dataDxfId="88">
      <calculatedColumnFormula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calculatedColumnFormula>
    </tableColumn>
    <tableColumn id="8" name="xml2" dataDxfId="87">
      <calculatedColumnFormula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calculatedColumnFormula>
    </tableColumn>
    <tableColumn id="15" name="t1" dataDxfId="86">
      <calculatedColumnFormula>(1-(1-Table15[[#This Row],[rpm]]/Table36[idleRpm])^2)*Table7[idleT]</calculatedColumnFormula>
    </tableColumn>
    <tableColumn id="18" name="t2" dataDxfId="85">
      <calculatedColumnFormula>MAX(0,(1-Table7[f1]*(Table36[maxTRpm1]-Table15[[#This Row],[rpm]])^2)*Table36[maxT])</calculatedColumnFormula>
    </tableColumn>
    <tableColumn id="19" name="t3" dataDxfId="84">
      <calculatedColumnFormula>MAX(0,(Table36[linearDown]*(1-Table7[f2]*(Table15[[#This Row],[rpm]]-Table36[maxTRpm]))+(1-Table36[linearDown])*(1-Table7[f3]*(Table15[[#This Row],[rpm]]-Table36[maxTRpm])^2))*Table36[maxT])</calculatedColumnFormula>
    </tableColumn>
    <tableColumn id="16" name="t4" dataDxfId="83">
      <calculatedColumnFormula>MAX(0,(Table36[maxPS]-Table7[f4]*(Table15[[#This Row],[rpm]]-Table36[maxPRpm])^2)/1.36*9550/MAX(1,Table15[[#This Row],[rpm]]))</calculatedColumnFormula>
    </tableColumn>
    <tableColumn id="17" name="t5" dataDxfId="82">
      <calculatedColumnFormula>MAX(0,Table7[Nm2]*MIN(Table36[ratedRpm]/MAX(1,Table15[[#This Row],[rpm]]),1-(MAX(0,Table15[[#This Row],[rpm]]-Table36[ratedRpm])/Table36[fadeOut])^Table36[fadeOutExp]))</calculatedColumnFormula>
    </tableColumn>
    <tableColumn id="21" name="t1E" dataDxfId="81">
      <calculatedColumnFormula>(1-(1-Table15[[#This Row],[rpm]]/Table36[idleRpm])^2)*Table7[idleTEco]</calculatedColumnFormula>
    </tableColumn>
    <tableColumn id="22" name="t2E" dataDxfId="80">
      <calculatedColumnFormula>MAX(0,(1-Table7[f1]*(Table36[maxTRpm1]-Table15[[#This Row],[rpm]])^2)*Table36[maxTEco])</calculatedColumnFormula>
    </tableColumn>
    <tableColumn id="23" name="t3E" dataDxfId="79">
      <calculatedColumnFormula>MAX(0,(Table36[linearDown]*(1-Table7[f2Eco]*(Table15[[#This Row],[rpm]]-Table36[maxTRpm]))+(1-Table36[linearDown])*(1-Table7[f3Eco]*(Table15[[#This Row],[rpm]]-Table36[maxTRpm])^2))*Table36[maxTEco])</calculatedColumnFormula>
    </tableColumn>
    <tableColumn id="24" name="t4E" dataDxfId="78">
      <calculatedColumnFormula>MAX(0,(Table36[maxPSEco]-Table7[f4Eco]*(Table15[[#This Row],[rpm]]-Table36[maxPRpm])^2)/1.36*9550/MAX(1,Table15[[#This Row],[rpm]]))</calculatedColumnFormula>
    </tableColumn>
    <tableColumn id="25" name="t5E" dataDxfId="77">
      <calculatedColumnFormula>MAX(0,Table7[Nm2Eco]*MIN(Table36[ratedRpm]/MAX(1,Table15[[#This Row],[rpm]]),1-(MAX(0,Table15[[#This Row],[rpm]]-Table36[ratedRpm])/Table36[fadeOut])^Table36[fadeOutExp]))</calculatedColumnFormula>
    </tableColumn>
    <tableColumn id="2" name="t6" dataDxfId="76">
      <calculatedColumnFormula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calculatedColumnFormula>
    </tableColumn>
    <tableColumn id="6" name="t6E" dataDxfId="75"/>
    <tableColumn id="20" name="deltaEco" dataDxfId="74">
      <calculatedColumnFormula>ABS(Table15[[#This Row],[motor]]-Table15[[#This Row],[motorEco]])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5" name="Table36" displayName="Table36" ref="A1:Z2" totalsRowShown="0" headerRowDxfId="73">
  <autoFilter ref="A1:Z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6">
    <tableColumn id="10" name="maxPRpm" dataDxfId="72"/>
    <tableColumn id="14" name="maxPS" dataDxfId="71"/>
    <tableColumn id="19" name="maxPSEco" dataDxfId="70">
      <calculatedColumnFormula>Table36[maxPS]*Table36[maxPsEcoRate]</calculatedColumnFormula>
    </tableColumn>
    <tableColumn id="2" name="ratedRpm"/>
    <tableColumn id="3" name="PS"/>
    <tableColumn id="20" name="PSEco" dataDxfId="69">
      <calculatedColumnFormula>Table36[PS]*Table36[PSEcoRate]</calculatedColumnFormula>
    </tableColumn>
    <tableColumn id="12" name="maxTRpm1" dataDxfId="68"/>
    <tableColumn id="4" name="maxTRpm" dataDxfId="67"/>
    <tableColumn id="5" name="maxT" dataDxfId="66"/>
    <tableColumn id="21" name="maxTEco" dataDxfId="65">
      <calculatedColumnFormula>Table36[maxT]*Table36[NmEcoRate]</calculatedColumnFormula>
    </tableColumn>
    <tableColumn id="6" name="idleRpm"/>
    <tableColumn id="7" name="idleRatio" dataCellStyle="Percent"/>
    <tableColumn id="11" name="fadeOut" dataDxfId="64"/>
    <tableColumn id="15" name="linearDown" dataDxfId="63"/>
    <tableColumn id="25" name="fadeOutExp" dataDxfId="62"/>
    <tableColumn id="22" name="Efficiency" dataDxfId="61"/>
    <tableColumn id="16" name="Factor" dataDxfId="60"/>
    <tableColumn id="13" name="fuelMinRate" dataDxfId="59"/>
    <tableColumn id="18" name="fuelRatedRate" dataDxfId="58">
      <calculatedColumnFormula>Table36[fuelMinRate]/0.9</calculatedColumnFormula>
    </tableColumn>
    <tableColumn id="9" name="fuelMinRpm" dataDxfId="57">
      <calculatedColumnFormula>ROUND(MIN(0.6*Table36[idleRpm]+0.4*Table36[ratedRpm],0.5*Table36[maxTRpm1]+0.5*Table36[maxTRpm]),-1)</calculatedColumnFormula>
    </tableColumn>
    <tableColumn id="17" name="fuelIdleRate" dataDxfId="56">
      <calculatedColumnFormula>0.94*Table36[fuelRatedRate]</calculatedColumnFormula>
    </tableColumn>
    <tableColumn id="1" name="normRpm" dataDxfId="55">
      <calculatedColumnFormula>ROUND(Table36[ratedRpm]+0.49*Table36[fadeOut],-2)</calculatedColumnFormula>
    </tableColumn>
    <tableColumn id="8" name="PSEcoRate" dataDxfId="54"/>
    <tableColumn id="23" name="NmEcoRate"/>
    <tableColumn id="24" name="maxPsEcoRate" dataDxfId="53">
      <calculatedColumnFormula>Table36[PSEcoRate]* (Table36[maxPRpm]-Table36[maxTRpm])/(Table36[ratedRpm]-Table36[maxTRpm]) + Table36[NmEcoRate]* (1- (Table36[maxPRpm]-Table36[maxTRpm])/(Table36[ratedRpm]-Table36[maxTRpm]))</calculatedColumnFormula>
    </tableColumn>
    <tableColumn id="26" name="maxPSRpmRate" dataDxfId="5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3:W4" totalsRowShown="0" headerRowDxfId="51" dataDxfId="50">
  <tableColumns count="23">
    <tableColumn id="1" name="f1" dataDxfId="49">
      <calculatedColumnFormula>(1-Table36[idleRatio])/((Table36[maxTRpm1]-Table36[idleRpm])^2)</calculatedColumnFormula>
    </tableColumn>
    <tableColumn id="2" name="f2" dataDxfId="48">
      <calculatedColumnFormula>(Table36[maxT]-Table7[Nm])/Table36[maxT]/(Table36[maxPRpm]-Table36[maxTRpm])</calculatedColumnFormula>
    </tableColumn>
    <tableColumn id="5" name="f3" dataDxfId="47">
      <calculatedColumnFormula>(Table36[maxT]-Table7[Nm])/Table36[maxT]/(Table36[maxPRpm]-Table36[maxTRpm])^2</calculatedColumnFormula>
    </tableColumn>
    <tableColumn id="6" name="f4" dataDxfId="46">
      <calculatedColumnFormula>(Table36[maxPS]-Table36[PS])/MAX(1,Table36[ratedRpm]-Table36[maxPRpm])^2</calculatedColumnFormula>
    </tableColumn>
    <tableColumn id="3" name="Nm" dataDxfId="45">
      <calculatedColumnFormula>Table36[maxPS]/1.36*9550/Table36[maxPRpm]</calculatedColumnFormula>
    </tableColumn>
    <tableColumn id="4" name="Nm2" dataDxfId="44">
      <calculatedColumnFormula>Table36[PS]/1.36*9550/Table36[ratedRpm]</calculatedColumnFormula>
    </tableColumn>
    <tableColumn id="7" name="Anfahrmoment" dataDxfId="43" dataCellStyle="Percent">
      <calculatedColumnFormula>Table7[Nm1000]/Table7[Nm2]</calculatedColumnFormula>
    </tableColumn>
    <tableColumn id="17" name="AnstiegE" dataDxfId="42" dataCellStyle="Percent">
      <calculatedColumnFormula>Table36[maxTEco]/Table7[Nm2Eco]-1</calculatedColumnFormula>
    </tableColumn>
    <tableColumn id="14" name="Anstieg" dataDxfId="41" dataCellStyle="Percent">
      <calculatedColumnFormula>Table36[maxT]/Table7[Nm2]-1</calculatedColumnFormula>
    </tableColumn>
    <tableColumn id="15" name="Abfall" dataDxfId="40" dataCellStyle="Percent">
      <calculatedColumnFormula>1-Table36[maxTRpm]/Table36[ratedRpm]</calculatedColumnFormula>
    </tableColumn>
    <tableColumn id="20" name="max kW" dataDxfId="39" dataCellStyle="Percent">
      <calculatedColumnFormula>Table36[maxPS]/1.36</calculatedColumnFormula>
    </tableColumn>
    <tableColumn id="18" name="rated kW" dataDxfId="38" dataCellStyle="Percent">
      <calculatedColumnFormula>Table36[PS]/1.36</calculatedColumnFormula>
    </tableColumn>
    <tableColumn id="23" name="max g/kWh" dataDxfId="37" dataCellStyle="Percent">
      <calculatedColumnFormula>Table36[fuelRatedRate]*1.1</calculatedColumnFormula>
    </tableColumn>
    <tableColumn id="16" name="Nm1000" dataDxfId="36" dataCellStyle="Percent">
      <calculatedColumnFormula>(1-Table7[f1]*(Table36[maxTRpm1]-1000)^2)*Table36[maxTEco]</calculatedColumnFormula>
    </tableColumn>
    <tableColumn id="8" name="NmEco" dataDxfId="35">
      <calculatedColumnFormula>Table36[maxPSEco]/1.36*9550/Table36[maxPRpm]</calculatedColumnFormula>
    </tableColumn>
    <tableColumn id="9" name="Nm2Eco" dataDxfId="34">
      <calculatedColumnFormula>Table36[PSEco]/1.36*9550/Table36[ratedRpm]</calculatedColumnFormula>
    </tableColumn>
    <tableColumn id="12" name="f2Eco" dataDxfId="33">
      <calculatedColumnFormula>(Table36[maxTEco]-Table7[NmEco])/Table36[maxTEco]/(Table36[maxPRpm]-Table36[maxTRpm])</calculatedColumnFormula>
    </tableColumn>
    <tableColumn id="10" name="f3Eco" dataDxfId="32">
      <calculatedColumnFormula>(Table36[maxTEco]-Table7[NmEco])/Table36[maxTEco]/(Table36[maxPRpm]-Table36[maxTRpm])^2</calculatedColumnFormula>
    </tableColumn>
    <tableColumn id="11" name="f4Eco" dataDxfId="31">
      <calculatedColumnFormula>(Table36[maxPSEco]-Table36[PSEco])/MAX(1,Table36[ratedRpm]-Table36[maxPRpm])^2</calculatedColumnFormula>
    </tableColumn>
    <tableColumn id="13" name="idleT" dataDxfId="30">
      <calculatedColumnFormula>(1-Table7[f1]*(Table36[maxTRpm1]-Table36[idleRpm])^2)*Table36[maxT]</calculatedColumnFormula>
    </tableColumn>
    <tableColumn id="19" name="idleTEco" dataDxfId="29">
      <calculatedColumnFormula>(1-Table7[f1]*(Table36[maxTRpm1]-Table36[idleRpm])^2)*Table36[maxTEco]</calculatedColumnFormula>
    </tableColumn>
    <tableColumn id="21" name="xmlComment" dataDxfId="28">
      <calculatedColumnFormula>CONCATENATE("        &lt;!-- ",Table36[maxPRpm],": ",Table36[maxPS],"(",ROUND(Table36[maxPSEco],0),") | ",Table36[ratedRpm],": ",Table36[PS],"(",ROUND(Table36[PSEco],0),") | ",Table36[maxTRpm1],"..",Table36[maxTRpm],": ",Table36[maxT],"(",ROUND(Table36[maxTEco],0),") | ",Table36[idleRatio]*100," | ",Table36[linearDown]," | ",Table36[fadeOut]," | ",Table36[fadeOutExp]," | ",Table36[normRpm]," | ",Table36[fuelMinRpm],": ",Table36[fuelMinRate]," --&gt;")</calculatedColumnFormula>
    </tableColumn>
    <tableColumn id="22" name="maxDeltaEco" dataDxfId="27">
      <calculatedColumnFormula>MAX(Table15[deltaEco])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Table1" displayName="Table1" ref="A1:H19" totalsRowShown="0">
  <autoFilter ref="A1:H19"/>
  <tableColumns count="8">
    <tableColumn id="1" name="rpm"/>
    <tableColumn id="7" name="rawData"/>
    <tableColumn id="2" name="pto">
      <calculatedColumnFormula>$A$22*Table1[[#This Row],[rawData]]</calculatedColumnFormula>
    </tableColumn>
    <tableColumn id="6" name="kw_pto" dataDxfId="26">
      <calculatedColumnFormula>A2*C2/9550</calculatedColumnFormula>
    </tableColumn>
    <tableColumn id="3" name="ps" dataDxfId="25">
      <calculatedColumnFormula>Table1[[#This Row],[kw_pto]]*1.36/0.94</calculatedColumnFormula>
    </tableColumn>
    <tableColumn id="4" name="motor"/>
    <tableColumn id="5" name="xml" dataDxfId="24">
      <calculatedColumnFormula>CONCATENATE("&lt;torque rpm=""",Table1[[#This Row],[rpm]],""" motorTorque=""",ROUND(Table1[[#This Row],[motor]],0),"""/&gt;")</calculatedColumnFormula>
    </tableColumn>
    <tableColumn id="8" name="xml2" dataDxfId="23">
      <calculatedColumnFormula>CONCATENATE("&lt;torque normRpm=""",ROUND(Table1[[#This Row],[rpm]]/Table3[ratedRpm],3),""" torque=""",ROUND(Table1[[#This Row],[motor]]/MAX(Table1[motor]),3),"""/&gt;")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21:D22" totalsRowShown="0">
  <autoFilter ref="A21:D22"/>
  <tableColumns count="4">
    <tableColumn id="1" name="Factor">
      <calculatedColumnFormula>0.94</calculatedColumnFormula>
    </tableColumn>
    <tableColumn id="2" name="ratedRpm"/>
    <tableColumn id="3" name="PS"/>
    <tableColumn id="4" name="Nm_rated">
      <calculatedColumnFormula>Table3[PS]/1.36*9548/Table3[ratedRpm]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2" name="Table2" displayName="Table2" ref="A1:L2" totalsRowShown="0" headerRowDxfId="22" tableBorderDxfId="21">
  <tableColumns count="12">
    <tableColumn id="1" name="maxPRpm" dataDxfId="20"/>
    <tableColumn id="2" name="maxPS" dataDxfId="19"/>
    <tableColumn id="4" name="ratedRpm" dataDxfId="18"/>
    <tableColumn id="5" name="PS" dataDxfId="17"/>
    <tableColumn id="7" name="maxTRpm1" dataDxfId="16"/>
    <tableColumn id="8" name="maxTRpm" dataDxfId="15"/>
    <tableColumn id="9" name="maxT" dataDxfId="14"/>
    <tableColumn id="11" name="idleRpm" dataDxfId="13"/>
    <tableColumn id="12" name="Anfahrmoment" dataCellStyle="Percent"/>
    <tableColumn id="3" name="fadeOut"/>
    <tableColumn id="6" name="Nm" dataDxfId="6">
      <calculatedColumnFormula>Table2[maxPS]/1.36*9550/Table2[maxPRpm]</calculatedColumnFormula>
    </tableColumn>
    <tableColumn id="10" name="Nm2" dataDxfId="5">
      <calculatedColumnFormula>Table2[PS]/1.36*9550/Table2[ratedRpm]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A4:F11" totalsRowShown="0">
  <tableColumns count="6">
    <tableColumn id="1" name="U/min"/>
    <tableColumn id="2" name="Nm"/>
    <tableColumn id="3" name="kW">
      <calculatedColumnFormula>B5*A5/9550</calculatedColumnFormula>
    </tableColumn>
    <tableColumn id="4" name="Nm0" dataDxfId="12">
      <calculatedColumnFormula>-B6</calculatedColumnFormula>
    </tableColumn>
    <tableColumn id="5" name="Nm2" dataDxfId="11">
      <calculatedColumnFormula>B6</calculatedColumnFormula>
    </tableColumn>
    <tableColumn id="6" name="Nm3" dataDxfId="10">
      <calculatedColumnFormula>B6+(A6-A5)*(B7-B6)/(A7-A6)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14:I75" totalsRowShown="0">
  <tableColumns count="9">
    <tableColumn id="1" name="U/min"/>
    <tableColumn id="2" name="Row" dataDxfId="9">
      <calculatedColumnFormula>MATCH(Table8[[#This Row],[U/min]],Table6[U/min],1)</calculatedColumnFormula>
    </tableColumn>
    <tableColumn id="3" name="t0" dataDxfId="8">
      <calculatedColumnFormula>INDEX(Table6[],Table8[[#This Row],[Row]],1)</calculatedColumnFormula>
    </tableColumn>
    <tableColumn id="4" name="t1" dataDxfId="7">
      <calculatedColumnFormula>INDEX(Table6[],Table8[[#This Row],[Row]]+1,1)</calculatedColumnFormula>
    </tableColumn>
    <tableColumn id="5" name="alpha" dataDxfId="2">
      <calculatedColumnFormula>IF(ISNUMBER(Table8[[#This Row],[t1]]),(Table8[[#This Row],[U/min]]-Table8[[#This Row],[t0]])/(Table8[[#This Row],[t1]]-Table8[[#This Row],[t0]]),0)</calculatedColumnFormula>
    </tableColumn>
    <tableColumn id="11" name="Nm" dataDxfId="4">
      <calculatedColumnFormula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calculatedColumnFormula>
    </tableColumn>
    <tableColumn id="12" name="PS" dataDxfId="3">
      <calculatedColumnFormula>Table8[[#This Row],[Nm2]]*1.36*Table8[[#This Row],[U/min]]/9550</calculatedColumnFormula>
    </tableColumn>
    <tableColumn id="6" name="Nm2" dataDxfId="1">
      <calculatedColumnFormula>MAX(0,MIN(interpolSq(INDEX(Table6[],Table8[[#This Row],[Row]],2),INDEX(Table6[],Table8[[#This Row],[Row]],5),INDEX(Table6[],Table8[[#This Row],[Row]],4),INDEX(Table6[],Table8[[#This Row],[Row]],6),Table8[[#This Row],[alpha]]),Table8[[#This Row],[Nm3]]))</calculatedColumnFormula>
    </tableColumn>
    <tableColumn id="7" name="Nm3" dataDxfId="0">
      <calculatedColumnFormula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62"/>
  <sheetViews>
    <sheetView workbookViewId="0">
      <selection activeCell="E3" sqref="E3:F4"/>
    </sheetView>
  </sheetViews>
  <sheetFormatPr defaultColWidth="7.140625" defaultRowHeight="15" x14ac:dyDescent="0.25"/>
  <cols>
    <col min="1" max="1" width="10" bestFit="1" customWidth="1"/>
    <col min="2" max="3" width="12" bestFit="1" customWidth="1"/>
    <col min="4" max="4" width="7.28515625" bestFit="1" customWidth="1"/>
    <col min="5" max="5" width="10.85546875" customWidth="1"/>
    <col min="6" max="6" width="7.5703125" bestFit="1" customWidth="1"/>
    <col min="7" max="10" width="7.28515625" bestFit="1" customWidth="1"/>
    <col min="11" max="11" width="11.140625" bestFit="1" customWidth="1"/>
    <col min="12" max="12" width="11" bestFit="1" customWidth="1"/>
    <col min="13" max="13" width="11.140625" bestFit="1" customWidth="1"/>
    <col min="14" max="14" width="7.28515625" bestFit="1" customWidth="1"/>
  </cols>
  <sheetData>
    <row r="1" spans="1:26" s="4" customFormat="1" ht="45.75" customHeight="1" thickBot="1" x14ac:dyDescent="0.3">
      <c r="A1" s="4" t="s">
        <v>18</v>
      </c>
      <c r="B1" s="4" t="s">
        <v>23</v>
      </c>
      <c r="C1" s="4" t="s">
        <v>35</v>
      </c>
      <c r="D1" s="4" t="s">
        <v>8</v>
      </c>
      <c r="E1" s="4" t="s">
        <v>10</v>
      </c>
      <c r="F1" s="4" t="s">
        <v>36</v>
      </c>
      <c r="G1" s="4" t="s">
        <v>22</v>
      </c>
      <c r="H1" s="4" t="s">
        <v>12</v>
      </c>
      <c r="I1" s="5" t="s">
        <v>13</v>
      </c>
      <c r="J1" s="4" t="s">
        <v>47</v>
      </c>
      <c r="K1" s="4" t="s">
        <v>14</v>
      </c>
      <c r="L1" s="4" t="s">
        <v>15</v>
      </c>
      <c r="M1" s="4" t="s">
        <v>21</v>
      </c>
      <c r="N1" s="4" t="s">
        <v>25</v>
      </c>
      <c r="O1" s="4" t="s">
        <v>68</v>
      </c>
      <c r="P1" s="4" t="s">
        <v>49</v>
      </c>
      <c r="Q1" s="4" t="s">
        <v>7</v>
      </c>
      <c r="R1" s="4" t="s">
        <v>31</v>
      </c>
      <c r="S1" s="4" t="s">
        <v>33</v>
      </c>
      <c r="T1" s="4" t="s">
        <v>30</v>
      </c>
      <c r="U1" s="4" t="s">
        <v>32</v>
      </c>
      <c r="V1" s="4" t="s">
        <v>60</v>
      </c>
      <c r="W1" s="4" t="s">
        <v>63</v>
      </c>
      <c r="X1" s="4" t="s">
        <v>64</v>
      </c>
      <c r="Y1" s="4" t="s">
        <v>67</v>
      </c>
      <c r="Z1" s="4" t="s">
        <v>74</v>
      </c>
    </row>
    <row r="2" spans="1:26" ht="15.75" thickBot="1" x14ac:dyDescent="0.3">
      <c r="A2" s="12">
        <v>1900</v>
      </c>
      <c r="B2" s="13">
        <v>396</v>
      </c>
      <c r="C2" s="17">
        <f>Table36[maxPS]*Table36[maxPsEcoRate]</f>
        <v>396</v>
      </c>
      <c r="D2" s="7">
        <v>2100</v>
      </c>
      <c r="E2" s="8">
        <v>390</v>
      </c>
      <c r="F2" s="18">
        <f>Table36[PS]*Table36[PSEcoRate]</f>
        <v>390</v>
      </c>
      <c r="G2" s="12">
        <v>1450</v>
      </c>
      <c r="H2" s="13">
        <v>1450</v>
      </c>
      <c r="I2" s="13">
        <v>1538</v>
      </c>
      <c r="J2" s="17">
        <f>Table36[maxT]*Table36[NmEcoRate]</f>
        <v>1538</v>
      </c>
      <c r="K2" s="27">
        <v>800</v>
      </c>
      <c r="L2" s="28">
        <v>0.85</v>
      </c>
      <c r="M2" s="29">
        <v>149</v>
      </c>
      <c r="N2" s="12">
        <v>0.5</v>
      </c>
      <c r="O2" s="13">
        <v>2</v>
      </c>
      <c r="P2" s="13">
        <v>0.98</v>
      </c>
      <c r="Q2" s="14">
        <v>1</v>
      </c>
      <c r="R2" s="26">
        <v>210</v>
      </c>
      <c r="S2" s="15">
        <f>Table36[fuelMinRate]/0.9</f>
        <v>233.33333333333331</v>
      </c>
      <c r="T2" s="16">
        <f>ROUND(MIN(0.6*Table36[idleRpm]+0.4*Table36[ratedRpm],0.5*Table36[maxTRpm1]+0.5*Table36[maxTRpm]),-1)</f>
        <v>1320</v>
      </c>
      <c r="U2" s="18">
        <f>0.94*Table36[fuelRatedRate]</f>
        <v>219.33333333333331</v>
      </c>
      <c r="V2" s="15">
        <f>ROUND(Table36[ratedRpm]+0.49*Table36[fadeOut],-2)</f>
        <v>2200</v>
      </c>
      <c r="W2" s="7">
        <v>1</v>
      </c>
      <c r="X2" s="9">
        <v>1</v>
      </c>
      <c r="Y2" s="35">
        <f>Table36[PSEcoRate]* (Table36[maxPRpm]-Table36[maxTRpm])/(Table36[ratedRpm]-Table36[maxTRpm]) + Table36[NmEcoRate]* (1- (Table36[maxPRpm]-Table36[maxTRpm])/(Table36[ratedRpm]-Table36[maxTRpm]))</f>
        <v>1</v>
      </c>
      <c r="Z2" s="26">
        <v>0.02</v>
      </c>
    </row>
    <row r="3" spans="1:26" x14ac:dyDescent="0.25">
      <c r="A3" s="11" t="s">
        <v>16</v>
      </c>
      <c r="B3" s="11" t="s">
        <v>17</v>
      </c>
      <c r="C3" s="11" t="s">
        <v>24</v>
      </c>
      <c r="D3" s="11" t="s">
        <v>26</v>
      </c>
      <c r="E3" s="11" t="s">
        <v>19</v>
      </c>
      <c r="F3" s="11" t="s">
        <v>20</v>
      </c>
      <c r="G3" s="22" t="s">
        <v>27</v>
      </c>
      <c r="H3" s="23" t="s">
        <v>66</v>
      </c>
      <c r="I3" s="23" t="s">
        <v>61</v>
      </c>
      <c r="J3" s="23" t="s">
        <v>62</v>
      </c>
      <c r="K3" s="22" t="s">
        <v>69</v>
      </c>
      <c r="L3" s="23" t="s">
        <v>70</v>
      </c>
      <c r="M3" s="24" t="s">
        <v>71</v>
      </c>
      <c r="N3" s="11" t="s">
        <v>65</v>
      </c>
      <c r="O3" s="11" t="s">
        <v>37</v>
      </c>
      <c r="P3" s="11" t="s">
        <v>38</v>
      </c>
      <c r="Q3" s="11" t="s">
        <v>41</v>
      </c>
      <c r="R3" s="11" t="s">
        <v>39</v>
      </c>
      <c r="S3" s="11" t="s">
        <v>40</v>
      </c>
      <c r="T3" s="11" t="s">
        <v>42</v>
      </c>
      <c r="U3" s="11" t="s">
        <v>48</v>
      </c>
      <c r="V3" s="11" t="s">
        <v>28</v>
      </c>
      <c r="W3" s="36" t="s">
        <v>76</v>
      </c>
    </row>
    <row r="4" spans="1:26" ht="15.75" thickBot="1" x14ac:dyDescent="0.3">
      <c r="A4" s="11">
        <f>(1-Table36[idleRatio])/((Table36[maxTRpm1]-Table36[idleRpm])^2)</f>
        <v>3.550295857988166E-7</v>
      </c>
      <c r="B4" s="11">
        <f>(Table36[maxT]-Table7[Nm])/Table36[maxT]/(Table36[maxPRpm]-Table36[maxTRpm])</f>
        <v>1.0757854119221671E-4</v>
      </c>
      <c r="C4" s="11">
        <f>(Table36[maxT]-Table7[Nm])/Table36[maxT]/(Table36[maxPRpm]-Table36[maxTRpm])^2</f>
        <v>2.3906342487159272E-7</v>
      </c>
      <c r="D4" s="11">
        <f>(Table36[maxPS]-Table36[PS])/MAX(1,Table36[ratedRpm]-Table36[maxPRpm])^2</f>
        <v>1.4999999999999999E-4</v>
      </c>
      <c r="E4" s="11">
        <f>Table36[maxPS]/1.36*9550/Table36[maxPRpm]</f>
        <v>1463.5448916408668</v>
      </c>
      <c r="F4" s="11">
        <f>Table36[PS]/1.36*9550/Table36[ratedRpm]</f>
        <v>1304.0966386554621</v>
      </c>
      <c r="G4" s="21">
        <f>Table7[Nm1000]/Table7[Nm2]</f>
        <v>1.0945721109461497</v>
      </c>
      <c r="H4" s="34">
        <f>Table36[maxTEco]/Table7[Nm2Eco]-1</f>
        <v>0.17936045106725751</v>
      </c>
      <c r="I4" s="34">
        <f>Table36[maxT]/Table7[Nm2]-1</f>
        <v>0.17936045106725751</v>
      </c>
      <c r="J4" s="34">
        <f>1-Table36[maxTRpm]/Table36[ratedRpm]</f>
        <v>0.30952380952380953</v>
      </c>
      <c r="K4" s="30">
        <f>Table36[maxPS]/1.36</f>
        <v>291.17647058823525</v>
      </c>
      <c r="L4" s="31">
        <f>Table36[PS]/1.36</f>
        <v>286.76470588235293</v>
      </c>
      <c r="M4" s="32">
        <f>Table36[fuelRatedRate]*1.1</f>
        <v>256.66666666666669</v>
      </c>
      <c r="N4" s="11">
        <f>(1-Table7[f1]*(Table36[maxTRpm1]-1000)^2)*Table36[maxTEco]</f>
        <v>1427.4278106508875</v>
      </c>
      <c r="O4" s="11">
        <f>Table36[maxPSEco]/1.36*9550/Table36[maxPRpm]</f>
        <v>1463.5448916408668</v>
      </c>
      <c r="P4" s="11">
        <f>Table36[PSEco]/1.36*9550/Table36[ratedRpm]</f>
        <v>1304.0966386554621</v>
      </c>
      <c r="Q4" s="11">
        <f>(Table36[maxTEco]-Table7[NmEco])/Table36[maxTEco]/(Table36[maxPRpm]-Table36[maxTRpm])</f>
        <v>1.0757854119221671E-4</v>
      </c>
      <c r="R4" s="11">
        <f>(Table36[maxTEco]-Table7[NmEco])/Table36[maxTEco]/(Table36[maxPRpm]-Table36[maxTRpm])^2</f>
        <v>2.3906342487159272E-7</v>
      </c>
      <c r="S4" s="11">
        <f>(Table36[maxPSEco]-Table36[PSEco])/MAX(1,Table36[ratedRpm]-Table36[maxPRpm])^2</f>
        <v>1.4999999999999999E-4</v>
      </c>
      <c r="T4" s="11">
        <f>(1-Table7[f1]*(Table36[maxTRpm1]-Table36[idleRpm])^2)*Table36[maxT]</f>
        <v>1307.3</v>
      </c>
      <c r="U4" s="11">
        <f>(1-Table7[f1]*(Table36[maxTRpm1]-Table36[idleRpm])^2)*Table36[maxTEco]</f>
        <v>1307.3</v>
      </c>
      <c r="V4" s="11" t="str">
        <f>CONCATENATE("        &lt;!-- ",Table36[maxPRpm],": ",Table36[maxPS],"(",ROUND(Table36[maxPSEco],0),") | ",Table36[ratedRpm],": ",Table36[PS],"(",ROUND(Table36[PSEco],0),") | ",Table36[maxTRpm1],"..",Table36[maxTRpm],": ",Table36[maxT],"(",ROUND(Table36[maxTEco],0),") | ",Table36[idleRatio]*100," | ",Table36[linearDown]," | ",Table36[fadeOut]," | ",Table36[fadeOutExp]," | ",Table36[normRpm]," | ",Table36[fuelMinRpm],": ",Table36[fuelMinRate]," --&gt;")</f>
        <v xml:space="preserve">        &lt;!-- 1900: 396(396) | 2100: 390(390) | 1450..1450: 1538(1538) | 85 | 0.5 | 149 | 2 | 2200 | 1320: 210 --&gt;</v>
      </c>
      <c r="W4" s="36">
        <f>MAX(Table15[deltaEco])</f>
        <v>0</v>
      </c>
    </row>
    <row r="6" spans="1:26" s="4" customFormat="1" ht="62.25" thickBot="1" x14ac:dyDescent="0.3">
      <c r="A6" s="4" t="s">
        <v>0</v>
      </c>
      <c r="B6" s="4" t="s">
        <v>5</v>
      </c>
      <c r="C6" s="4" t="s">
        <v>29</v>
      </c>
      <c r="D6" s="4" t="s">
        <v>43</v>
      </c>
      <c r="E6" s="4" t="s">
        <v>44</v>
      </c>
      <c r="F6" s="4" t="s">
        <v>4</v>
      </c>
      <c r="G6" s="4" t="s">
        <v>46</v>
      </c>
      <c r="H6" s="4" t="s">
        <v>1</v>
      </c>
      <c r="I6" s="4" t="s">
        <v>45</v>
      </c>
      <c r="J6" s="4" t="s">
        <v>34</v>
      </c>
      <c r="K6" s="6" t="s">
        <v>3</v>
      </c>
      <c r="L6" s="4" t="s">
        <v>9</v>
      </c>
      <c r="M6" s="4" t="s">
        <v>50</v>
      </c>
      <c r="N6" s="4" t="s">
        <v>51</v>
      </c>
      <c r="O6" s="4" t="s">
        <v>52</v>
      </c>
      <c r="P6" s="4" t="s">
        <v>53</v>
      </c>
      <c r="Q6" s="4" t="s">
        <v>54</v>
      </c>
      <c r="R6" s="4" t="s">
        <v>55</v>
      </c>
      <c r="S6" s="4" t="s">
        <v>56</v>
      </c>
      <c r="T6" s="4" t="s">
        <v>59</v>
      </c>
      <c r="U6" s="4" t="s">
        <v>57</v>
      </c>
      <c r="V6" s="4" t="s">
        <v>58</v>
      </c>
      <c r="W6" s="4" t="s">
        <v>72</v>
      </c>
      <c r="X6" s="4" t="s">
        <v>73</v>
      </c>
      <c r="Y6" s="4" t="s">
        <v>75</v>
      </c>
    </row>
    <row r="7" spans="1:26" x14ac:dyDescent="0.25">
      <c r="A7" s="3">
        <v>0</v>
      </c>
      <c r="B7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7" s="19"/>
      <c r="D7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7" s="19"/>
      <c r="F7" s="3">
        <f>Table36[Factor]*IF(Table15[[#This Row],[manualData]]&gt;0,Table15[[#This Row],[manualData]],Table15[[#This Row],[rawData]])</f>
        <v>0</v>
      </c>
      <c r="G7" s="3">
        <f>Table36[Factor]*IF(Table15[[#This Row],[manDataEco]]&gt;0,Table15[[#This Row],[manDataEco]],Table15[[#This Row],[rawDataEco]])</f>
        <v>0</v>
      </c>
      <c r="H7" s="25">
        <f>1.36*Table15[[#This Row],[rpm]]*Table15[[#This Row],[motor]]/9550</f>
        <v>0</v>
      </c>
      <c r="I7" s="25">
        <f>1.36*Table15[[#This Row],[rpm]]*Table15[[#This Row],[motorEco]]/9550</f>
        <v>0</v>
      </c>
      <c r="J7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270.14201183431942</v>
      </c>
      <c r="K7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&lt;!-- 1900: 396(396) | 2100: 390(390) | 1450..1450: 1538(1538) | 85 | 0.5 | 149 | 2 | 2200 | 1320: 210 --&gt;</v>
      </c>
      <c r="L7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&lt;!-- 1900: 396(396) | 2100: 390(390) | 1450..1450: 1538(1538) | 85 | 0.5 | 149 | 2 | 2200 | 1320: 210 --&gt;</v>
      </c>
      <c r="M7" s="3">
        <f>(1-(1-Table15[[#This Row],[rpm]]/Table36[idleRpm])^2)*Table7[idleT]</f>
        <v>0</v>
      </c>
      <c r="N7" s="3">
        <f>MAX(0,(1-Table7[f1]*(Table36[maxTRpm1]-Table15[[#This Row],[rpm]])^2)*Table36[maxT])</f>
        <v>389.96035502958563</v>
      </c>
      <c r="O7" s="3">
        <f>MAX(0,(Table36[linearDown]*(1-Table7[f2]*(Table15[[#This Row],[rpm]]-Table36[maxTRpm]))+(1-Table36[linearDown])*(1-Table7[f3]*(Table15[[#This Row],[rpm]]-Table36[maxTRpm])^2))*Table36[maxT])</f>
        <v>1271.4323280969306</v>
      </c>
      <c r="P7" s="3">
        <f>MAX(0,(Table36[maxPS]-Table7[f4]*(Table15[[#This Row],[rpm]]-Table36[maxPRpm])^2)/1.36*9550/MAX(1,Table15[[#This Row],[rpm]]))</f>
        <v>0</v>
      </c>
      <c r="Q7" s="3">
        <f>MAX(0,Table7[Nm2]*MIN(Table36[ratedRpm]/MAX(1,Table15[[#This Row],[rpm]]),1-(MAX(0,Table15[[#This Row],[rpm]]-Table36[ratedRpm])/Table36[fadeOut])^Table36[fadeOutExp]))</f>
        <v>1304.0966386554621</v>
      </c>
      <c r="R7" s="3">
        <f>(1-(1-Table15[[#This Row],[rpm]]/Table36[idleRpm])^2)*Table7[idleTEco]</f>
        <v>0</v>
      </c>
      <c r="S7" s="3">
        <f>MAX(0,(1-Table7[f1]*(Table36[maxTRpm1]-Table15[[#This Row],[rpm]])^2)*Table36[maxTEco])</f>
        <v>389.96035502958563</v>
      </c>
      <c r="T7" s="3">
        <f>MAX(0,(Table36[linearDown]*(1-Table7[f2Eco]*(Table15[[#This Row],[rpm]]-Table36[maxTRpm]))+(1-Table36[linearDown])*(1-Table7[f3Eco]*(Table15[[#This Row],[rpm]]-Table36[maxTRpm])^2))*Table36[maxTEco])</f>
        <v>1271.4323280969306</v>
      </c>
      <c r="U7" s="3">
        <f>MAX(0,(Table36[maxPSEco]-Table7[f4Eco]*(Table15[[#This Row],[rpm]]-Table36[maxPRpm])^2)/1.36*9550/MAX(1,Table15[[#This Row],[rpm]]))</f>
        <v>0</v>
      </c>
      <c r="V7" s="3">
        <f>MAX(0,Table7[Nm2Eco]*MIN(Table36[ratedRpm]/MAX(1,Table15[[#This Row],[rpm]]),1-(MAX(0,Table15[[#This Row],[rpm]]-Table36[ratedRpm])/Table36[fadeOut])^Table36[fadeOutExp]))</f>
        <v>1304.0966386554621</v>
      </c>
      <c r="W7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0</v>
      </c>
      <c r="X7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0</v>
      </c>
      <c r="Y7" s="3">
        <f>ABS(Table15[[#This Row],[motor]]-Table15[[#This Row],[motorEco]])</f>
        <v>0</v>
      </c>
    </row>
    <row r="8" spans="1:26" x14ac:dyDescent="0.25">
      <c r="A8" s="3">
        <v>350</v>
      </c>
      <c r="B8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886.50239214473925</v>
      </c>
      <c r="C8" s="20"/>
      <c r="D8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886.50239214473925</v>
      </c>
      <c r="E8" s="20"/>
      <c r="F8" s="3">
        <f>Table36[Factor]*IF(Table15[[#This Row],[manualData]]&gt;0,Table15[[#This Row],[manualData]],Table15[[#This Row],[rawData]])</f>
        <v>886.50239214473925</v>
      </c>
      <c r="G8" s="3">
        <f>Table36[Factor]*IF(Table15[[#This Row],[manDataEco]]&gt;0,Table15[[#This Row],[manDataEco]],Table15[[#This Row],[rawDataEco]])</f>
        <v>886.50239214473925</v>
      </c>
      <c r="H8" s="25">
        <f>1.36*Table15[[#This Row],[rpm]]*Table15[[#This Row],[motor]]/9550</f>
        <v>44.185878393811095</v>
      </c>
      <c r="I8" s="25">
        <f>1.36*Table15[[#This Row],[rpm]]*Table15[[#This Row],[motorEco]]/9550</f>
        <v>44.185878393811095</v>
      </c>
      <c r="J8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242.47682445759364</v>
      </c>
      <c r="K8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rpm="350" motorTorque="887" fuelUsageRatio="242.5"/&gt;</v>
      </c>
      <c r="L8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normRpm="0.159" torque="0.577"/&gt;</v>
      </c>
      <c r="M8" s="3">
        <f>(1-(1-Table15[[#This Row],[rpm]]/Table36[idleRpm])^2)*Table7[idleT]</f>
        <v>893.662109375</v>
      </c>
      <c r="N8" s="3">
        <f>MAX(0,(1-Table7[f1]*(Table36[maxTRpm1]-Table15[[#This Row],[rpm]])^2)*Table36[maxT])</f>
        <v>877.29704142011826</v>
      </c>
      <c r="O8" s="3">
        <f>MAX(0,(Table36[linearDown]*(1-Table7[f2]*(Table15[[#This Row],[rpm]]-Table36[maxTRpm]))+(1-Table36[linearDown])*(1-Table7[f3]*(Table15[[#This Row],[rpm]]-Table36[maxTRpm])^2))*Table36[maxT])</f>
        <v>1406.5545617857279</v>
      </c>
      <c r="P8" s="3">
        <f>MAX(0,(Table36[maxPS]-Table7[f4]*(Table15[[#This Row],[rpm]]-Table36[maxPRpm])^2)/1.36*9550/MAX(1,Table15[[#This Row],[rpm]]))</f>
        <v>714.74527310924475</v>
      </c>
      <c r="Q8" s="3">
        <f>MAX(0,Table7[Nm2]*MIN(Table36[ratedRpm]/MAX(1,Table15[[#This Row],[rpm]]),1-(MAX(0,Table15[[#This Row],[rpm]]-Table36[ratedRpm])/Table36[fadeOut])^Table36[fadeOutExp]))</f>
        <v>1304.0966386554621</v>
      </c>
      <c r="R8" s="3">
        <f>(1-(1-Table15[[#This Row],[rpm]]/Table36[idleRpm])^2)*Table7[idleTEco]</f>
        <v>893.662109375</v>
      </c>
      <c r="S8" s="3">
        <f>MAX(0,(1-Table7[f1]*(Table36[maxTRpm1]-Table15[[#This Row],[rpm]])^2)*Table36[maxTEco])</f>
        <v>877.29704142011826</v>
      </c>
      <c r="T8" s="3">
        <f>MAX(0,(Table36[linearDown]*(1-Table7[f2Eco]*(Table15[[#This Row],[rpm]]-Table36[maxTRpm]))+(1-Table36[linearDown])*(1-Table7[f3Eco]*(Table15[[#This Row],[rpm]]-Table36[maxTRpm])^2))*Table36[maxTEco])</f>
        <v>1406.5545617857279</v>
      </c>
      <c r="U8" s="3">
        <f>MAX(0,(Table36[maxPSEco]-Table7[f4Eco]*(Table15[[#This Row],[rpm]]-Table36[maxPRpm])^2)/1.36*9550/MAX(1,Table15[[#This Row],[rpm]]))</f>
        <v>714.74527310924475</v>
      </c>
      <c r="V8" s="3">
        <f>MAX(0,Table7[Nm2Eco]*MIN(Table36[ratedRpm]/MAX(1,Table15[[#This Row],[rpm]]),1-(MAX(0,Table15[[#This Row],[rpm]]-Table36[ratedRpm])/Table36[fadeOut])^Table36[fadeOutExp]))</f>
        <v>1304.0966386554621</v>
      </c>
      <c r="W8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7815.3297213622272</v>
      </c>
      <c r="X8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7815.3297213622272</v>
      </c>
      <c r="Y8" s="3">
        <f>ABS(Table15[[#This Row],[motor]]-Table15[[#This Row],[motorEco]])</f>
        <v>0</v>
      </c>
    </row>
    <row r="9" spans="1:26" x14ac:dyDescent="0.25">
      <c r="A9" s="3">
        <v>700</v>
      </c>
      <c r="B9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1237.857330575074</v>
      </c>
      <c r="C9" s="20"/>
      <c r="D9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1237.857330575074</v>
      </c>
      <c r="E9" s="20"/>
      <c r="F9" s="3">
        <f>Table36[Factor]*IF(Table15[[#This Row],[manualData]]&gt;0,Table15[[#This Row],[manualData]],Table15[[#This Row],[rawData]])</f>
        <v>1237.857330575074</v>
      </c>
      <c r="G9" s="3">
        <f>Table36[Factor]*IF(Table15[[#This Row],[manDataEco]]&gt;0,Table15[[#This Row],[manDataEco]],Table15[[#This Row],[rawDataEco]])</f>
        <v>1237.857330575074</v>
      </c>
      <c r="H9" s="25">
        <f>1.36*Table15[[#This Row],[rpm]]*Table15[[#This Row],[motor]]/9550</f>
        <v>123.39687735156761</v>
      </c>
      <c r="I9" s="25">
        <f>1.36*Table15[[#This Row],[rpm]]*Table15[[#This Row],[motorEco]]/9550</f>
        <v>123.39687735156761</v>
      </c>
      <c r="J9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223.26824457593685</v>
      </c>
      <c r="K9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rpm="700" motorTorque="1238" fuelUsageRatio="223.3"/&gt;</v>
      </c>
      <c r="L9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normRpm="0.318" torque="0.806"/&gt;</v>
      </c>
      <c r="M9" s="3">
        <f>(1-(1-Table15[[#This Row],[rpm]]/Table36[idleRpm])^2)*Table7[idleT]</f>
        <v>1286.8734374999999</v>
      </c>
      <c r="N9" s="3">
        <f>MAX(0,(1-Table7[f1]*(Table36[maxTRpm1]-Table15[[#This Row],[rpm]])^2)*Table36[maxT])</f>
        <v>1230.8550295857988</v>
      </c>
      <c r="O9" s="3">
        <f>MAX(0,(Table36[linearDown]*(1-Table7[f2]*(Table15[[#This Row],[rpm]]-Table36[maxTRpm]))+(1-Table36[linearDown])*(1-Table7[f3]*(Table15[[#This Row],[rpm]]-Table36[maxTRpm])^2))*Table36[maxT])</f>
        <v>1496.6360509115927</v>
      </c>
      <c r="P9" s="3">
        <f>MAX(0,(Table36[maxPS]-Table7[f4]*(Table15[[#This Row],[rpm]]-Table36[maxPRpm])^2)/1.36*9550/MAX(1,Table15[[#This Row],[rpm]]))</f>
        <v>1805.6722689075632</v>
      </c>
      <c r="Q9" s="3">
        <f>MAX(0,Table7[Nm2]*MIN(Table36[ratedRpm]/MAX(1,Table15[[#This Row],[rpm]]),1-(MAX(0,Table15[[#This Row],[rpm]]-Table36[ratedRpm])/Table36[fadeOut])^Table36[fadeOutExp]))</f>
        <v>1304.0966386554621</v>
      </c>
      <c r="R9" s="3">
        <f>(1-(1-Table15[[#This Row],[rpm]]/Table36[idleRpm])^2)*Table7[idleTEco]</f>
        <v>1286.8734374999999</v>
      </c>
      <c r="S9" s="3">
        <f>MAX(0,(1-Table7[f1]*(Table36[maxTRpm1]-Table15[[#This Row],[rpm]])^2)*Table36[maxTEco])</f>
        <v>1230.8550295857988</v>
      </c>
      <c r="T9" s="3">
        <f>MAX(0,(Table36[linearDown]*(1-Table7[f2Eco]*(Table15[[#This Row],[rpm]]-Table36[maxTRpm]))+(1-Table36[linearDown])*(1-Table7[f3Eco]*(Table15[[#This Row],[rpm]]-Table36[maxTRpm])^2))*Table36[maxTEco])</f>
        <v>1496.6360509115927</v>
      </c>
      <c r="U9" s="3">
        <f>MAX(0,(Table36[maxPSEco]-Table7[f4Eco]*(Table15[[#This Row],[rpm]]-Table36[maxPRpm])^2)/1.36*9550/MAX(1,Table15[[#This Row],[rpm]]))</f>
        <v>1805.6722689075632</v>
      </c>
      <c r="V9" s="3">
        <f>MAX(0,Table7[Nm2Eco]*MIN(Table36[ratedRpm]/MAX(1,Table15[[#This Row],[rpm]]),1-(MAX(0,Table15[[#This Row],[rpm]]-Table36[ratedRpm])/Table36[fadeOut])^Table36[fadeOutExp]))</f>
        <v>1304.0966386554621</v>
      </c>
      <c r="W9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3922.3003095975223</v>
      </c>
      <c r="X9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3922.3003095975223</v>
      </c>
      <c r="Y9" s="3">
        <f>ABS(Table15[[#This Row],[motor]]-Table15[[#This Row],[motorEco]])</f>
        <v>0</v>
      </c>
    </row>
    <row r="10" spans="1:26" x14ac:dyDescent="0.25">
      <c r="A10" s="3">
        <v>900</v>
      </c>
      <c r="B10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1372.8242603550295</v>
      </c>
      <c r="C10" s="20"/>
      <c r="D10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1372.8242603550295</v>
      </c>
      <c r="E10" s="20"/>
      <c r="F10" s="3">
        <f>Table36[Factor]*IF(Table15[[#This Row],[manualData]]&gt;0,Table15[[#This Row],[manualData]],Table15[[#This Row],[rawData]])</f>
        <v>1372.8242603550295</v>
      </c>
      <c r="G10" s="3">
        <f>Table36[Factor]*IF(Table15[[#This Row],[manDataEco]]&gt;0,Table15[[#This Row],[manDataEco]],Table15[[#This Row],[rawDataEco]])</f>
        <v>1372.8242603550295</v>
      </c>
      <c r="H10" s="25">
        <f>1.36*Table15[[#This Row],[rpm]]*Table15[[#This Row],[motor]]/9550</f>
        <v>175.95150729576503</v>
      </c>
      <c r="I10" s="25">
        <f>1.36*Table15[[#This Row],[rpm]]*Table15[[#This Row],[motorEco]]/9550</f>
        <v>175.95150729576503</v>
      </c>
      <c r="J10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216.08875739644969</v>
      </c>
      <c r="K10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rpm="900" motorTorque="1373" fuelUsageRatio="216.1"/&gt;</v>
      </c>
      <c r="L10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normRpm="0.409" torque="0.893"/&gt;</v>
      </c>
      <c r="M10" s="3">
        <f>(1-(1-Table15[[#This Row],[rpm]]/Table36[idleRpm])^2)*Table7[idleT]</f>
        <v>1286.8734374999999</v>
      </c>
      <c r="N10" s="3">
        <f>MAX(0,(1-Table7[f1]*(Table36[maxTRpm1]-Table15[[#This Row],[rpm]])^2)*Table36[maxT])</f>
        <v>1372.8242603550295</v>
      </c>
      <c r="O10" s="3">
        <f>MAX(0,(Table36[linearDown]*(1-Table7[f2]*(Table15[[#This Row],[rpm]]-Table36[maxTRpm]))+(1-Table36[linearDown])*(1-Table7[f3]*(Table15[[#This Row],[rpm]]-Table36[maxTRpm])^2))*Table36[maxT])</f>
        <v>1527.8888124450559</v>
      </c>
      <c r="P10" s="3">
        <f>MAX(0,(Table36[maxPS]-Table7[f4]*(Table15[[#This Row],[rpm]]-Table36[maxPRpm])^2)/1.36*9550/MAX(1,Table15[[#This Row],[rpm]]))</f>
        <v>1919.3627450980391</v>
      </c>
      <c r="Q10" s="3">
        <f>MAX(0,Table7[Nm2]*MIN(Table36[ratedRpm]/MAX(1,Table15[[#This Row],[rpm]]),1-(MAX(0,Table15[[#This Row],[rpm]]-Table36[ratedRpm])/Table36[fadeOut])^Table36[fadeOutExp]))</f>
        <v>1304.0966386554621</v>
      </c>
      <c r="R10" s="3">
        <f>(1-(1-Table15[[#This Row],[rpm]]/Table36[idleRpm])^2)*Table7[idleTEco]</f>
        <v>1286.8734374999999</v>
      </c>
      <c r="S10" s="3">
        <f>MAX(0,(1-Table7[f1]*(Table36[maxTRpm1]-Table15[[#This Row],[rpm]])^2)*Table36[maxTEco])</f>
        <v>1372.8242603550295</v>
      </c>
      <c r="T10" s="3">
        <f>MAX(0,(Table36[linearDown]*(1-Table7[f2Eco]*(Table15[[#This Row],[rpm]]-Table36[maxTRpm]))+(1-Table36[linearDown])*(1-Table7[f3Eco]*(Table15[[#This Row],[rpm]]-Table36[maxTRpm])^2))*Table36[maxTEco])</f>
        <v>1527.8888124450559</v>
      </c>
      <c r="U10" s="3">
        <f>MAX(0,(Table36[maxPSEco]-Table7[f4Eco]*(Table15[[#This Row],[rpm]]-Table36[maxPRpm])^2)/1.36*9550/MAX(1,Table15[[#This Row],[rpm]]))</f>
        <v>1919.3627450980391</v>
      </c>
      <c r="V10" s="3">
        <f>MAX(0,Table7[Nm2Eco]*MIN(Table36[ratedRpm]/MAX(1,Table15[[#This Row],[rpm]]),1-(MAX(0,Table15[[#This Row],[rpm]]-Table36[ratedRpm])/Table36[fadeOut])^Table36[fadeOutExp]))</f>
        <v>1304.0966386554621</v>
      </c>
      <c r="W10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3057.1826625386993</v>
      </c>
      <c r="X10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3057.1826625386993</v>
      </c>
      <c r="Y10" s="3">
        <f>ABS(Table15[[#This Row],[motor]]-Table15[[#This Row],[motorEco]])</f>
        <v>0</v>
      </c>
    </row>
    <row r="11" spans="1:26" x14ac:dyDescent="0.25">
      <c r="A11" s="3">
        <v>1000</v>
      </c>
      <c r="B11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1427.4278106508875</v>
      </c>
      <c r="C11" s="20"/>
      <c r="D11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1427.4278106508875</v>
      </c>
      <c r="E11" s="20"/>
      <c r="F11" s="3">
        <f>Table36[Factor]*IF(Table15[[#This Row],[manualData]]&gt;0,Table15[[#This Row],[manualData]],Table15[[#This Row],[rawData]])</f>
        <v>1427.4278106508875</v>
      </c>
      <c r="G11" s="3">
        <f>Table36[Factor]*IF(Table15[[#This Row],[manDataEco]]&gt;0,Table15[[#This Row],[manDataEco]],Table15[[#This Row],[rawDataEco]])</f>
        <v>1427.4278106508875</v>
      </c>
      <c r="H11" s="25">
        <f>1.36*Table15[[#This Row],[rpm]]*Table15[[#This Row],[motor]]/9550</f>
        <v>203.27767774714209</v>
      </c>
      <c r="I11" s="25">
        <f>1.36*Table15[[#This Row],[rpm]]*Table15[[#This Row],[motorEco]]/9550</f>
        <v>203.27767774714209</v>
      </c>
      <c r="J11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213.53451676528599</v>
      </c>
      <c r="K11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rpm="1000" motorTorque="1427" fuelUsageRatio="213.5"/&gt;</v>
      </c>
      <c r="L11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normRpm="0.455" torque="0.929"/&gt;</v>
      </c>
      <c r="M11" s="3">
        <f>(1-(1-Table15[[#This Row],[rpm]]/Table36[idleRpm])^2)*Table7[idleT]</f>
        <v>1225.59375</v>
      </c>
      <c r="N11" s="3">
        <f>MAX(0,(1-Table7[f1]*(Table36[maxTRpm1]-Table15[[#This Row],[rpm]])^2)*Table36[maxT])</f>
        <v>1427.4278106508875</v>
      </c>
      <c r="O11" s="3">
        <f>MAX(0,(Table36[linearDown]*(1-Table7[f2]*(Table15[[#This Row],[rpm]]-Table36[maxTRpm]))+(1-Table36[linearDown])*(1-Table7[f3]*(Table15[[#This Row],[rpm]]-Table36[maxTRpm])^2))*Table36[maxT])</f>
        <v>1538</v>
      </c>
      <c r="P11" s="3">
        <f>MAX(0,(Table36[maxPS]-Table7[f4]*(Table15[[#This Row],[rpm]]-Table36[maxPRpm])^2)/1.36*9550/MAX(1,Table15[[#This Row],[rpm]]))</f>
        <v>1927.5551470588234</v>
      </c>
      <c r="Q11" s="3">
        <f>MAX(0,Table7[Nm2]*MIN(Table36[ratedRpm]/MAX(1,Table15[[#This Row],[rpm]]),1-(MAX(0,Table15[[#This Row],[rpm]]-Table36[ratedRpm])/Table36[fadeOut])^Table36[fadeOutExp]))</f>
        <v>1304.0966386554621</v>
      </c>
      <c r="R11" s="3">
        <f>(1-(1-Table15[[#This Row],[rpm]]/Table36[idleRpm])^2)*Table7[idleTEco]</f>
        <v>1225.59375</v>
      </c>
      <c r="S11" s="3">
        <f>MAX(0,(1-Table7[f1]*(Table36[maxTRpm1]-Table15[[#This Row],[rpm]])^2)*Table36[maxTEco])</f>
        <v>1427.4278106508875</v>
      </c>
      <c r="T11" s="3">
        <f>MAX(0,(Table36[linearDown]*(1-Table7[f2Eco]*(Table15[[#This Row],[rpm]]-Table36[maxTRpm]))+(1-Table36[linearDown])*(1-Table7[f3Eco]*(Table15[[#This Row],[rpm]]-Table36[maxTRpm])^2))*Table36[maxTEco])</f>
        <v>1538</v>
      </c>
      <c r="U11" s="3">
        <f>MAX(0,(Table36[maxPSEco]-Table7[f4Eco]*(Table15[[#This Row],[rpm]]-Table36[maxPRpm])^2)/1.36*9550/MAX(1,Table15[[#This Row],[rpm]]))</f>
        <v>1927.5551470588234</v>
      </c>
      <c r="V11" s="3">
        <f>MAX(0,Table7[Nm2Eco]*MIN(Table36[ratedRpm]/MAX(1,Table15[[#This Row],[rpm]]),1-(MAX(0,Table15[[#This Row],[rpm]]-Table36[ratedRpm])/Table36[fadeOut])^Table36[fadeOutExp]))</f>
        <v>1304.0966386554621</v>
      </c>
      <c r="W11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2754.3914860681111</v>
      </c>
      <c r="X11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2754.3914860681111</v>
      </c>
      <c r="Y11" s="3">
        <f>ABS(Table15[[#This Row],[motor]]-Table15[[#This Row],[motorEco]])</f>
        <v>0</v>
      </c>
    </row>
    <row r="12" spans="1:26" x14ac:dyDescent="0.25">
      <c r="A12" s="3">
        <v>1100</v>
      </c>
      <c r="B12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1471.1106508875739</v>
      </c>
      <c r="C12" s="20"/>
      <c r="D12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1471.1106508875739</v>
      </c>
      <c r="E12" s="20"/>
      <c r="F12" s="3">
        <f>Table36[Factor]*IF(Table15[[#This Row],[manualData]]&gt;0,Table15[[#This Row],[manualData]],Table15[[#This Row],[rawData]])</f>
        <v>1471.1106508875739</v>
      </c>
      <c r="G12" s="3">
        <f>Table36[Factor]*IF(Table15[[#This Row],[manDataEco]]&gt;0,Table15[[#This Row],[manDataEco]],Table15[[#This Row],[rawDataEco]])</f>
        <v>1471.1106508875739</v>
      </c>
      <c r="H12" s="25">
        <f>1.36*Table15[[#This Row],[rpm]]*Table15[[#This Row],[motor]]/9550</f>
        <v>230.44832813903778</v>
      </c>
      <c r="I12" s="25">
        <f>1.36*Table15[[#This Row],[rpm]]*Table15[[#This Row],[motorEco]]/9550</f>
        <v>230.44832813903778</v>
      </c>
      <c r="J12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211.67061143984222</v>
      </c>
      <c r="K12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rpm="1100" motorTorque="1471" fuelUsageRatio="211.7"/&gt;</v>
      </c>
      <c r="L12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normRpm="0.5" torque="0.957"/&gt;</v>
      </c>
      <c r="M12" s="3">
        <f>(1-(1-Table15[[#This Row],[rpm]]/Table36[idleRpm])^2)*Table7[idleT]</f>
        <v>1123.4609375</v>
      </c>
      <c r="N12" s="3">
        <f>MAX(0,(1-Table7[f1]*(Table36[maxTRpm1]-Table15[[#This Row],[rpm]])^2)*Table36[maxT])</f>
        <v>1471.1106508875739</v>
      </c>
      <c r="O12" s="3">
        <f>MAX(0,(Table36[linearDown]*(1-Table7[f2]*(Table15[[#This Row],[rpm]]-Table36[maxTRpm]))+(1-Table36[linearDown])*(1-Table7[f3]*(Table15[[#This Row],[rpm]]-Table36[maxTRpm])^2))*Table36[maxT])</f>
        <v>1544.4343920804188</v>
      </c>
      <c r="P12" s="3">
        <f>MAX(0,(Table36[maxPS]-Table7[f4]*(Table15[[#This Row],[rpm]]-Table36[maxPRpm])^2)/1.36*9550/MAX(1,Table15[[#This Row],[rpm]]))</f>
        <v>1915.1069518716574</v>
      </c>
      <c r="Q12" s="3">
        <f>MAX(0,Table7[Nm2]*MIN(Table36[ratedRpm]/MAX(1,Table15[[#This Row],[rpm]]),1-(MAX(0,Table15[[#This Row],[rpm]]-Table36[ratedRpm])/Table36[fadeOut])^Table36[fadeOutExp]))</f>
        <v>1304.0966386554621</v>
      </c>
      <c r="R12" s="3">
        <f>(1-(1-Table15[[#This Row],[rpm]]/Table36[idleRpm])^2)*Table7[idleTEco]</f>
        <v>1123.4609375</v>
      </c>
      <c r="S12" s="3">
        <f>MAX(0,(1-Table7[f1]*(Table36[maxTRpm1]-Table15[[#This Row],[rpm]])^2)*Table36[maxTEco])</f>
        <v>1471.1106508875739</v>
      </c>
      <c r="T12" s="3">
        <f>MAX(0,(Table36[linearDown]*(1-Table7[f2Eco]*(Table15[[#This Row],[rpm]]-Table36[maxTRpm]))+(1-Table36[linearDown])*(1-Table7[f3Eco]*(Table15[[#This Row],[rpm]]-Table36[maxTRpm])^2))*Table36[maxTEco])</f>
        <v>1544.4343920804188</v>
      </c>
      <c r="U12" s="3">
        <f>MAX(0,(Table36[maxPSEco]-Table7[f4Eco]*(Table15[[#This Row],[rpm]]-Table36[maxPRpm])^2)/1.36*9550/MAX(1,Table15[[#This Row],[rpm]]))</f>
        <v>1915.1069518716574</v>
      </c>
      <c r="V12" s="3">
        <f>MAX(0,Table7[Nm2Eco]*MIN(Table36[ratedRpm]/MAX(1,Table15[[#This Row],[rpm]]),1-(MAX(0,Table15[[#This Row],[rpm]]-Table36[ratedRpm])/Table36[fadeOut])^Table36[fadeOutExp]))</f>
        <v>1304.0966386554621</v>
      </c>
      <c r="W12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2506.6532507739935</v>
      </c>
      <c r="X12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2506.6532507739935</v>
      </c>
      <c r="Y12" s="3">
        <f>ABS(Table15[[#This Row],[motor]]-Table15[[#This Row],[motorEco]])</f>
        <v>0</v>
      </c>
    </row>
    <row r="13" spans="1:26" x14ac:dyDescent="0.25">
      <c r="A13" s="3">
        <v>1200</v>
      </c>
      <c r="B13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1503.8727810650887</v>
      </c>
      <c r="C13" s="20"/>
      <c r="D13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1503.8727810650887</v>
      </c>
      <c r="E13" s="20"/>
      <c r="F13" s="3">
        <f>Table36[Factor]*IF(Table15[[#This Row],[manualData]]&gt;0,Table15[[#This Row],[manualData]],Table15[[#This Row],[rawData]])</f>
        <v>1503.8727810650887</v>
      </c>
      <c r="G13" s="3">
        <f>Table36[Factor]*IF(Table15[[#This Row],[manDataEco]]&gt;0,Table15[[#This Row],[manDataEco]],Table15[[#This Row],[rawDataEco]])</f>
        <v>1503.8727810650887</v>
      </c>
      <c r="H13" s="25">
        <f>1.36*Table15[[#This Row],[rpm]]*Table15[[#This Row],[motor]]/9550</f>
        <v>256.99689829300786</v>
      </c>
      <c r="I13" s="25">
        <f>1.36*Table15[[#This Row],[rpm]]*Table15[[#This Row],[motorEco]]/9550</f>
        <v>256.99689829300786</v>
      </c>
      <c r="J13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210.49704142011834</v>
      </c>
      <c r="K13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rpm="1200" motorTorque="1504" fuelUsageRatio="210.5"/&gt;</v>
      </c>
      <c r="L13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normRpm="0.545" torque="0.979"/&gt;</v>
      </c>
      <c r="M13" s="3">
        <f>(1-(1-Table15[[#This Row],[rpm]]/Table36[idleRpm])^2)*Table7[idleT]</f>
        <v>980.47499999999991</v>
      </c>
      <c r="N13" s="3">
        <f>MAX(0,(1-Table7[f1]*(Table36[maxTRpm1]-Table15[[#This Row],[rpm]])^2)*Table36[maxT])</f>
        <v>1503.8727810650887</v>
      </c>
      <c r="O13" s="3">
        <f>MAX(0,(Table36[linearDown]*(1-Table7[f2]*(Table15[[#This Row],[rpm]]-Table36[maxTRpm]))+(1-Table36[linearDown])*(1-Table7[f3]*(Table15[[#This Row],[rpm]]-Table36[maxTRpm])^2))*Table36[maxT])</f>
        <v>1547.1919886863125</v>
      </c>
      <c r="P13" s="3">
        <f>MAX(0,(Table36[maxPS]-Table7[f4]*(Table15[[#This Row],[rpm]]-Table36[maxPRpm])^2)/1.36*9550/MAX(1,Table15[[#This Row],[rpm]]))</f>
        <v>1887.1783088235293</v>
      </c>
      <c r="Q13" s="3">
        <f>MAX(0,Table7[Nm2]*MIN(Table36[ratedRpm]/MAX(1,Table15[[#This Row],[rpm]]),1-(MAX(0,Table15[[#This Row],[rpm]]-Table36[ratedRpm])/Table36[fadeOut])^Table36[fadeOutExp]))</f>
        <v>1304.0966386554621</v>
      </c>
      <c r="R13" s="3">
        <f>(1-(1-Table15[[#This Row],[rpm]]/Table36[idleRpm])^2)*Table7[idleTEco]</f>
        <v>980.47499999999991</v>
      </c>
      <c r="S13" s="3">
        <f>MAX(0,(1-Table7[f1]*(Table36[maxTRpm1]-Table15[[#This Row],[rpm]])^2)*Table36[maxTEco])</f>
        <v>1503.8727810650887</v>
      </c>
      <c r="T13" s="3">
        <f>MAX(0,(Table36[linearDown]*(1-Table7[f2Eco]*(Table15[[#This Row],[rpm]]-Table36[maxTRpm]))+(1-Table36[linearDown])*(1-Table7[f3Eco]*(Table15[[#This Row],[rpm]]-Table36[maxTRpm])^2))*Table36[maxTEco])</f>
        <v>1547.1919886863125</v>
      </c>
      <c r="U13" s="3">
        <f>MAX(0,(Table36[maxPSEco]-Table7[f4Eco]*(Table15[[#This Row],[rpm]]-Table36[maxPRpm])^2)/1.36*9550/MAX(1,Table15[[#This Row],[rpm]]))</f>
        <v>1887.1783088235293</v>
      </c>
      <c r="V13" s="3">
        <f>MAX(0,Table7[Nm2Eco]*MIN(Table36[ratedRpm]/MAX(1,Table15[[#This Row],[rpm]]),1-(MAX(0,Table15[[#This Row],[rpm]]-Table36[ratedRpm])/Table36[fadeOut])^Table36[fadeOutExp]))</f>
        <v>1304.0966386554621</v>
      </c>
      <c r="W13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2300.2047213622286</v>
      </c>
      <c r="X13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2300.2047213622286</v>
      </c>
      <c r="Y13" s="3">
        <f>ABS(Table15[[#This Row],[motor]]-Table15[[#This Row],[motorEco]])</f>
        <v>0</v>
      </c>
    </row>
    <row r="14" spans="1:26" x14ac:dyDescent="0.25">
      <c r="A14" s="3">
        <v>1300</v>
      </c>
      <c r="B14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1525.7142011834319</v>
      </c>
      <c r="C14" s="20"/>
      <c r="D14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1525.7142011834319</v>
      </c>
      <c r="E14" s="20"/>
      <c r="F14" s="3">
        <f>Table36[Factor]*IF(Table15[[#This Row],[manualData]]&gt;0,Table15[[#This Row],[manualData]],Table15[[#This Row],[rawData]])</f>
        <v>1525.7142011834319</v>
      </c>
      <c r="G14" s="3">
        <f>Table36[Factor]*IF(Table15[[#This Row],[manDataEco]]&gt;0,Table15[[#This Row],[manDataEco]],Table15[[#This Row],[rawDataEco]])</f>
        <v>1525.7142011834319</v>
      </c>
      <c r="H14" s="25">
        <f>1.36*Table15[[#This Row],[rpm]]*Table15[[#This Row],[motor]]/9550</f>
        <v>282.45682803060816</v>
      </c>
      <c r="I14" s="25">
        <f>1.36*Table15[[#This Row],[rpm]]*Table15[[#This Row],[motorEco]]/9550</f>
        <v>282.45682803060816</v>
      </c>
      <c r="J14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210.01380670611439</v>
      </c>
      <c r="K14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rpm="1300" motorTorque="1526" fuelUsageRatio="210"/&gt;</v>
      </c>
      <c r="L14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normRpm="0.591" torque="0.993"/&gt;</v>
      </c>
      <c r="M14" s="3">
        <f>(1-(1-Table15[[#This Row],[rpm]]/Table36[idleRpm])^2)*Table7[idleT]</f>
        <v>796.63593749999995</v>
      </c>
      <c r="N14" s="3">
        <f>MAX(0,(1-Table7[f1]*(Table36[maxTRpm1]-Table15[[#This Row],[rpm]])^2)*Table36[maxT])</f>
        <v>1525.7142011834319</v>
      </c>
      <c r="O14" s="3">
        <f>MAX(0,(Table36[linearDown]*(1-Table7[f2]*(Table15[[#This Row],[rpm]]-Table36[maxTRpm]))+(1-Table36[linearDown])*(1-Table7[f3]*(Table15[[#This Row],[rpm]]-Table36[maxTRpm])^2))*Table36[maxT])</f>
        <v>1546.2727898176813</v>
      </c>
      <c r="P14" s="3">
        <f>MAX(0,(Table36[maxPS]-Table7[f4]*(Table15[[#This Row],[rpm]]-Table36[maxPRpm])^2)/1.36*9550/MAX(1,Table15[[#This Row],[rpm]]))</f>
        <v>1847.3416289592756</v>
      </c>
      <c r="Q14" s="3">
        <f>MAX(0,Table7[Nm2]*MIN(Table36[ratedRpm]/MAX(1,Table15[[#This Row],[rpm]]),1-(MAX(0,Table15[[#This Row],[rpm]]-Table36[ratedRpm])/Table36[fadeOut])^Table36[fadeOutExp]))</f>
        <v>1304.0966386554621</v>
      </c>
      <c r="R14" s="3">
        <f>(1-(1-Table15[[#This Row],[rpm]]/Table36[idleRpm])^2)*Table7[idleTEco]</f>
        <v>796.63593749999995</v>
      </c>
      <c r="S14" s="3">
        <f>MAX(0,(1-Table7[f1]*(Table36[maxTRpm1]-Table15[[#This Row],[rpm]])^2)*Table36[maxTEco])</f>
        <v>1525.7142011834319</v>
      </c>
      <c r="T14" s="3">
        <f>MAX(0,(Table36[linearDown]*(1-Table7[f2Eco]*(Table15[[#This Row],[rpm]]-Table36[maxTRpm]))+(1-Table36[linearDown])*(1-Table7[f3Eco]*(Table15[[#This Row],[rpm]]-Table36[maxTRpm])^2))*Table36[maxTEco])</f>
        <v>1546.2727898176813</v>
      </c>
      <c r="U14" s="3">
        <f>MAX(0,(Table36[maxPSEco]-Table7[f4Eco]*(Table15[[#This Row],[rpm]]-Table36[maxPRpm])^2)/1.36*9550/MAX(1,Table15[[#This Row],[rpm]]))</f>
        <v>1847.3416289592756</v>
      </c>
      <c r="V14" s="3">
        <f>MAX(0,Table7[Nm2Eco]*MIN(Table36[ratedRpm]/MAX(1,Table15[[#This Row],[rpm]]),1-(MAX(0,Table15[[#This Row],[rpm]]-Table36[ratedRpm])/Table36[fadeOut])^Table36[fadeOutExp]))</f>
        <v>1304.0966386554621</v>
      </c>
      <c r="W14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2125.5175041676584</v>
      </c>
      <c r="X14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2125.5175041676584</v>
      </c>
      <c r="Y14" s="3">
        <f>ABS(Table15[[#This Row],[motor]]-Table15[[#This Row],[motorEco]])</f>
        <v>0</v>
      </c>
    </row>
    <row r="15" spans="1:26" x14ac:dyDescent="0.25">
      <c r="A15" s="3">
        <v>1400</v>
      </c>
      <c r="B15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1536.6349112426035</v>
      </c>
      <c r="C15" s="20"/>
      <c r="D15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1536.6349112426035</v>
      </c>
      <c r="E15" s="20"/>
      <c r="F15" s="3">
        <f>Table36[Factor]*IF(Table15[[#This Row],[manualData]]&gt;0,Table15[[#This Row],[manualData]],Table15[[#This Row],[rawData]])</f>
        <v>1536.6349112426035</v>
      </c>
      <c r="G15" s="3">
        <f>Table36[Factor]*IF(Table15[[#This Row],[manDataEco]]&gt;0,Table15[[#This Row],[manDataEco]],Table15[[#This Row],[rawDataEco]])</f>
        <v>1536.6349112426035</v>
      </c>
      <c r="H15" s="25">
        <f>1.36*Table15[[#This Row],[rpm]]*Table15[[#This Row],[motor]]/9550</f>
        <v>306.36155717339449</v>
      </c>
      <c r="I15" s="25">
        <f>1.36*Table15[[#This Row],[rpm]]*Table15[[#This Row],[motorEco]]/9550</f>
        <v>306.36155717339449</v>
      </c>
      <c r="J15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210.24545255314487</v>
      </c>
      <c r="K15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rpm="1400" motorTorque="1537" fuelUsageRatio="210.2"/&gt;</v>
      </c>
      <c r="L15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normRpm="0.636" torque="1"/&gt;</v>
      </c>
      <c r="M15" s="3">
        <f>(1-(1-Table15[[#This Row],[rpm]]/Table36[idleRpm])^2)*Table7[idleT]</f>
        <v>571.94375000000002</v>
      </c>
      <c r="N15" s="3">
        <f>MAX(0,(1-Table7[f1]*(Table36[maxTRpm1]-Table15[[#This Row],[rpm]])^2)*Table36[maxT])</f>
        <v>1536.6349112426035</v>
      </c>
      <c r="O15" s="3">
        <f>MAX(0,(Table36[linearDown]*(1-Table7[f2]*(Table15[[#This Row],[rpm]]-Table36[maxTRpm]))+(1-Table36[linearDown])*(1-Table7[f3]*(Table15[[#This Row],[rpm]]-Table36[maxTRpm])^2))*Table36[maxT])</f>
        <v>1541.6767954745251</v>
      </c>
      <c r="P15" s="3">
        <f>MAX(0,(Table36[maxPS]-Table7[f4]*(Table15[[#This Row],[rpm]]-Table36[maxPRpm])^2)/1.36*9550/MAX(1,Table15[[#This Row],[rpm]]))</f>
        <v>1798.1486344537814</v>
      </c>
      <c r="Q15" s="3">
        <f>MAX(0,Table7[Nm2]*MIN(Table36[ratedRpm]/MAX(1,Table15[[#This Row],[rpm]]),1-(MAX(0,Table15[[#This Row],[rpm]]-Table36[ratedRpm])/Table36[fadeOut])^Table36[fadeOutExp]))</f>
        <v>1304.0966386554621</v>
      </c>
      <c r="R15" s="3">
        <f>(1-(1-Table15[[#This Row],[rpm]]/Table36[idleRpm])^2)*Table7[idleTEco]</f>
        <v>571.94375000000002</v>
      </c>
      <c r="S15" s="3">
        <f>MAX(0,(1-Table7[f1]*(Table36[maxTRpm1]-Table15[[#This Row],[rpm]])^2)*Table36[maxTEco])</f>
        <v>1536.6349112426035</v>
      </c>
      <c r="T15" s="3">
        <f>MAX(0,(Table36[linearDown]*(1-Table7[f2Eco]*(Table15[[#This Row],[rpm]]-Table36[maxTRpm]))+(1-Table36[linearDown])*(1-Table7[f3Eco]*(Table15[[#This Row],[rpm]]-Table36[maxTRpm])^2))*Table36[maxTEco])</f>
        <v>1541.6767954745251</v>
      </c>
      <c r="U15" s="3">
        <f>MAX(0,(Table36[maxPSEco]-Table7[f4Eco]*(Table15[[#This Row],[rpm]]-Table36[maxPRpm])^2)/1.36*9550/MAX(1,Table15[[#This Row],[rpm]]))</f>
        <v>1798.1486344537814</v>
      </c>
      <c r="V15" s="3">
        <f>MAX(0,Table7[Nm2Eco]*MIN(Table36[ratedRpm]/MAX(1,Table15[[#This Row],[rpm]]),1-(MAX(0,Table15[[#This Row],[rpm]]-Table36[ratedRpm])/Table36[fadeOut])^Table36[fadeOutExp]))</f>
        <v>1304.0966386554621</v>
      </c>
      <c r="W15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1975.7856037151698</v>
      </c>
      <c r="X15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1975.7856037151698</v>
      </c>
      <c r="Y15" s="3">
        <f>ABS(Table15[[#This Row],[motor]]-Table15[[#This Row],[motorEco]])</f>
        <v>0</v>
      </c>
    </row>
    <row r="16" spans="1:26" x14ac:dyDescent="0.25">
      <c r="A16" s="3">
        <v>1500</v>
      </c>
      <c r="B16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1533.4040056568438</v>
      </c>
      <c r="C16" s="20"/>
      <c r="D16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1533.4040056568438</v>
      </c>
      <c r="E16" s="20"/>
      <c r="F16" s="3">
        <f>Table36[Factor]*IF(Table15[[#This Row],[manualData]]&gt;0,Table15[[#This Row],[manualData]],Table15[[#This Row],[rawData]])</f>
        <v>1533.4040056568438</v>
      </c>
      <c r="G16" s="3">
        <f>Table36[Factor]*IF(Table15[[#This Row],[manDataEco]]&gt;0,Table15[[#This Row],[manDataEco]],Table15[[#This Row],[rawDataEco]])</f>
        <v>1533.4040056568438</v>
      </c>
      <c r="H16" s="25">
        <f>1.36*Table15[[#This Row],[rpm]]*Table15[[#This Row],[motor]]/9550</f>
        <v>327.55436351203787</v>
      </c>
      <c r="I16" s="25">
        <f>1.36*Table15[[#This Row],[rpm]]*Table15[[#This Row],[motorEco]]/9550</f>
        <v>327.55436351203787</v>
      </c>
      <c r="J16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211.24260355029585</v>
      </c>
      <c r="K16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rpm="1500" motorTorque="1533" fuelUsageRatio="211.2"/&gt;</v>
      </c>
      <c r="L16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normRpm="0.682" torque="0.998"/&gt;</v>
      </c>
      <c r="M16" s="3">
        <f>(1-(1-Table15[[#This Row],[rpm]]/Table36[idleRpm])^2)*Table7[idleT]</f>
        <v>306.3984375</v>
      </c>
      <c r="N16" s="3">
        <f>MAX(0,(1-Table7[f1]*(Table36[maxTRpm1]-Table15[[#This Row],[rpm]])^2)*Table36[maxT])</f>
        <v>1536.6349112426035</v>
      </c>
      <c r="O16" s="3">
        <f>MAX(0,(Table36[linearDown]*(1-Table7[f2]*(Table15[[#This Row],[rpm]]-Table36[maxTRpm]))+(1-Table36[linearDown])*(1-Table7[f3]*(Table15[[#This Row],[rpm]]-Table36[maxTRpm])^2))*Table36[maxT])</f>
        <v>1533.4040056568438</v>
      </c>
      <c r="P16" s="3">
        <f>MAX(0,(Table36[maxPS]-Table7[f4]*(Table15[[#This Row],[rpm]]-Table36[maxPRpm])^2)/1.36*9550/MAX(1,Table15[[#This Row],[rpm]]))</f>
        <v>1741.4705882352939</v>
      </c>
      <c r="Q16" s="3">
        <f>MAX(0,Table7[Nm2]*MIN(Table36[ratedRpm]/MAX(1,Table15[[#This Row],[rpm]]),1-(MAX(0,Table15[[#This Row],[rpm]]-Table36[ratedRpm])/Table36[fadeOut])^Table36[fadeOutExp]))</f>
        <v>1304.0966386554621</v>
      </c>
      <c r="R16" s="3">
        <f>(1-(1-Table15[[#This Row],[rpm]]/Table36[idleRpm])^2)*Table7[idleTEco]</f>
        <v>306.3984375</v>
      </c>
      <c r="S16" s="3">
        <f>MAX(0,(1-Table7[f1]*(Table36[maxTRpm1]-Table15[[#This Row],[rpm]])^2)*Table36[maxTEco])</f>
        <v>1536.6349112426035</v>
      </c>
      <c r="T16" s="3">
        <f>MAX(0,(Table36[linearDown]*(1-Table7[f2Eco]*(Table15[[#This Row],[rpm]]-Table36[maxTRpm]))+(1-Table36[linearDown])*(1-Table7[f3Eco]*(Table15[[#This Row],[rpm]]-Table36[maxTRpm])^2))*Table36[maxTEco])</f>
        <v>1533.4040056568438</v>
      </c>
      <c r="U16" s="3">
        <f>MAX(0,(Table36[maxPSEco]-Table7[f4Eco]*(Table15[[#This Row],[rpm]]-Table36[maxPRpm])^2)/1.36*9550/MAX(1,Table15[[#This Row],[rpm]]))</f>
        <v>1741.4705882352939</v>
      </c>
      <c r="V16" s="3">
        <f>MAX(0,Table7[Nm2Eco]*MIN(Table36[ratedRpm]/MAX(1,Table15[[#This Row],[rpm]]),1-(MAX(0,Table15[[#This Row],[rpm]]-Table36[ratedRpm])/Table36[fadeOut])^Table36[fadeOutExp]))</f>
        <v>1304.0966386554621</v>
      </c>
      <c r="W16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1846.0179566563465</v>
      </c>
      <c r="X16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1846.0179566563465</v>
      </c>
      <c r="Y16" s="3">
        <f>ABS(Table15[[#This Row],[motor]]-Table15[[#This Row],[motorEco]])</f>
        <v>0</v>
      </c>
    </row>
    <row r="17" spans="1:25" x14ac:dyDescent="0.25">
      <c r="A17" s="3">
        <v>1600</v>
      </c>
      <c r="B17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1521.4544203646369</v>
      </c>
      <c r="C17" s="20"/>
      <c r="D17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1521.4544203646369</v>
      </c>
      <c r="E17" s="20"/>
      <c r="F17" s="3">
        <f>Table36[Factor]*IF(Table15[[#This Row],[manualData]]&gt;0,Table15[[#This Row],[manualData]],Table15[[#This Row],[rawData]])</f>
        <v>1521.4544203646369</v>
      </c>
      <c r="G17" s="3">
        <f>Table36[Factor]*IF(Table15[[#This Row],[manDataEco]]&gt;0,Table15[[#This Row],[manDataEco]],Table15[[#This Row],[rawDataEco]])</f>
        <v>1521.4544203646369</v>
      </c>
      <c r="H17" s="25">
        <f>1.36*Table15[[#This Row],[rpm]]*Table15[[#This Row],[motor]]/9550</f>
        <v>346.66856740454972</v>
      </c>
      <c r="I17" s="25">
        <f>1.36*Table15[[#This Row],[rpm]]*Table15[[#This Row],[motorEco]]/9550</f>
        <v>346.66856740454972</v>
      </c>
      <c r="J17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213.00679377602455</v>
      </c>
      <c r="K17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rpm="1600" motorTorque="1521" fuelUsageRatio="213"/&gt;</v>
      </c>
      <c r="L17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normRpm="0.727" torque="0.99"/&gt;</v>
      </c>
      <c r="M17" s="3">
        <f>(1-(1-Table15[[#This Row],[rpm]]/Table36[idleRpm])^2)*Table7[idleT]</f>
        <v>0</v>
      </c>
      <c r="N17" s="3">
        <f>MAX(0,(1-Table7[f1]*(Table36[maxTRpm1]-Table15[[#This Row],[rpm]])^2)*Table36[maxT])</f>
        <v>1525.7142011834319</v>
      </c>
      <c r="O17" s="3">
        <f>MAX(0,(Table36[linearDown]*(1-Table7[f2]*(Table15[[#This Row],[rpm]]-Table36[maxTRpm]))+(1-Table36[linearDown])*(1-Table7[f3]*(Table15[[#This Row],[rpm]]-Table36[maxTRpm])^2))*Table36[maxT])</f>
        <v>1521.4544203646369</v>
      </c>
      <c r="P17" s="3">
        <f>MAX(0,(Table36[maxPS]-Table7[f4]*(Table15[[#This Row],[rpm]]-Table36[maxPRpm])^2)/1.36*9550/MAX(1,Table15[[#This Row],[rpm]]))</f>
        <v>1678.7109375</v>
      </c>
      <c r="Q17" s="3">
        <f>MAX(0,Table7[Nm2]*MIN(Table36[ratedRpm]/MAX(1,Table15[[#This Row],[rpm]]),1-(MAX(0,Table15[[#This Row],[rpm]]-Table36[ratedRpm])/Table36[fadeOut])^Table36[fadeOutExp]))</f>
        <v>1304.0966386554621</v>
      </c>
      <c r="R17" s="3">
        <f>(1-(1-Table15[[#This Row],[rpm]]/Table36[idleRpm])^2)*Table7[idleTEco]</f>
        <v>0</v>
      </c>
      <c r="S17" s="3">
        <f>MAX(0,(1-Table7[f1]*(Table36[maxTRpm1]-Table15[[#This Row],[rpm]])^2)*Table36[maxTEco])</f>
        <v>1525.7142011834319</v>
      </c>
      <c r="T17" s="3">
        <f>MAX(0,(Table36[linearDown]*(1-Table7[f2Eco]*(Table15[[#This Row],[rpm]]-Table36[maxTRpm]))+(1-Table36[linearDown])*(1-Table7[f3Eco]*(Table15[[#This Row],[rpm]]-Table36[maxTRpm])^2))*Table36[maxTEco])</f>
        <v>1521.4544203646369</v>
      </c>
      <c r="U17" s="3">
        <f>MAX(0,(Table36[maxPSEco]-Table7[f4Eco]*(Table15[[#This Row],[rpm]]-Table36[maxPRpm])^2)/1.36*9550/MAX(1,Table15[[#This Row],[rpm]]))</f>
        <v>1678.7109375</v>
      </c>
      <c r="V17" s="3">
        <f>MAX(0,Table7[Nm2Eco]*MIN(Table36[ratedRpm]/MAX(1,Table15[[#This Row],[rpm]]),1-(MAX(0,Table15[[#This Row],[rpm]]-Table36[ratedRpm])/Table36[fadeOut])^Table36[fadeOutExp]))</f>
        <v>1304.0966386554621</v>
      </c>
      <c r="W17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1732.4712654798761</v>
      </c>
      <c r="X17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1732.4712654798761</v>
      </c>
      <c r="Y17" s="3">
        <f>ABS(Table15[[#This Row],[motor]]-Table15[[#This Row],[motorEco]])</f>
        <v>0</v>
      </c>
    </row>
    <row r="18" spans="1:25" x14ac:dyDescent="0.25">
      <c r="A18" s="3">
        <v>1700</v>
      </c>
      <c r="B18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1505.8280395979054</v>
      </c>
      <c r="C18" s="20"/>
      <c r="D18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1505.8280395979054</v>
      </c>
      <c r="E18" s="20"/>
      <c r="F18" s="3">
        <f>Table36[Factor]*IF(Table15[[#This Row],[manualData]]&gt;0,Table15[[#This Row],[manualData]],Table15[[#This Row],[rawData]])</f>
        <v>1505.8280395979054</v>
      </c>
      <c r="G18" s="3">
        <f>Table36[Factor]*IF(Table15[[#This Row],[manDataEco]]&gt;0,Table15[[#This Row],[manDataEco]],Table15[[#This Row],[rawDataEco]])</f>
        <v>1505.8280395979054</v>
      </c>
      <c r="H18" s="25">
        <f>1.36*Table15[[#This Row],[rpm]]*Table15[[#This Row],[motor]]/9550</f>
        <v>364.55229607857143</v>
      </c>
      <c r="I18" s="25">
        <f>1.36*Table15[[#This Row],[rpm]]*Table15[[#This Row],[motorEco]]/9550</f>
        <v>364.55229607857143</v>
      </c>
      <c r="J18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215.53802323033091</v>
      </c>
      <c r="K18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rpm="1700" motorTorque="1506" fuelUsageRatio="215.5"/&gt;</v>
      </c>
      <c r="L18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normRpm="0.773" torque="0.98"/&gt;</v>
      </c>
      <c r="M18" s="3">
        <f>(1-(1-Table15[[#This Row],[rpm]]/Table36[idleRpm])^2)*Table7[idleT]</f>
        <v>-347.25156249999998</v>
      </c>
      <c r="N18" s="3">
        <f>MAX(0,(1-Table7[f1]*(Table36[maxTRpm1]-Table15[[#This Row],[rpm]])^2)*Table36[maxT])</f>
        <v>1503.8727810650887</v>
      </c>
      <c r="O18" s="3">
        <f>MAX(0,(Table36[linearDown]*(1-Table7[f2]*(Table15[[#This Row],[rpm]]-Table36[maxTRpm]))+(1-Table36[linearDown])*(1-Table7[f3]*(Table15[[#This Row],[rpm]]-Table36[maxTRpm])^2))*Table36[maxT])</f>
        <v>1505.8280395979054</v>
      </c>
      <c r="P18" s="3">
        <f>MAX(0,(Table36[maxPS]-Table7[f4]*(Table15[[#This Row],[rpm]]-Table36[maxPRpm])^2)/1.36*9550/MAX(1,Table15[[#This Row],[rpm]]))</f>
        <v>1610.9429065743943</v>
      </c>
      <c r="Q18" s="3">
        <f>MAX(0,Table7[Nm2]*MIN(Table36[ratedRpm]/MAX(1,Table15[[#This Row],[rpm]]),1-(MAX(0,Table15[[#This Row],[rpm]]-Table36[ratedRpm])/Table36[fadeOut])^Table36[fadeOutExp]))</f>
        <v>1304.0966386554621</v>
      </c>
      <c r="R18" s="3">
        <f>(1-(1-Table15[[#This Row],[rpm]]/Table36[idleRpm])^2)*Table7[idleTEco]</f>
        <v>-347.25156249999998</v>
      </c>
      <c r="S18" s="3">
        <f>MAX(0,(1-Table7[f1]*(Table36[maxTRpm1]-Table15[[#This Row],[rpm]])^2)*Table36[maxTEco])</f>
        <v>1503.8727810650887</v>
      </c>
      <c r="T18" s="3">
        <f>MAX(0,(Table36[linearDown]*(1-Table7[f2Eco]*(Table15[[#This Row],[rpm]]-Table36[maxTRpm]))+(1-Table36[linearDown])*(1-Table7[f3Eco]*(Table15[[#This Row],[rpm]]-Table36[maxTRpm])^2))*Table36[maxTEco])</f>
        <v>1505.8280395979054</v>
      </c>
      <c r="U18" s="3">
        <f>MAX(0,(Table36[maxPSEco]-Table7[f4Eco]*(Table15[[#This Row],[rpm]]-Table36[maxPRpm])^2)/1.36*9550/MAX(1,Table15[[#This Row],[rpm]]))</f>
        <v>1610.9429065743943</v>
      </c>
      <c r="V18" s="3">
        <f>MAX(0,Table7[Nm2Eco]*MIN(Table36[ratedRpm]/MAX(1,Table15[[#This Row],[rpm]]),1-(MAX(0,Table15[[#This Row],[rpm]]-Table36[ratedRpm])/Table36[fadeOut])^Table36[fadeOutExp]))</f>
        <v>1304.0966386554621</v>
      </c>
      <c r="W18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1632.2830085594605</v>
      </c>
      <c r="X18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1632.2830085594605</v>
      </c>
      <c r="Y18" s="3">
        <f>ABS(Table15[[#This Row],[motor]]-Table15[[#This Row],[motorEco]])</f>
        <v>0</v>
      </c>
    </row>
    <row r="19" spans="1:25" x14ac:dyDescent="0.25">
      <c r="A19" s="3">
        <v>1800</v>
      </c>
      <c r="B19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1486.5248633566487</v>
      </c>
      <c r="C19" s="20"/>
      <c r="D19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1486.5248633566487</v>
      </c>
      <c r="E19" s="20"/>
      <c r="F19" s="3">
        <f>Table36[Factor]*IF(Table15[[#This Row],[manualData]]&gt;0,Table15[[#This Row],[manualData]],Table15[[#This Row],[rawData]])</f>
        <v>1486.5248633566487</v>
      </c>
      <c r="G19" s="3">
        <f>Table36[Factor]*IF(Table15[[#This Row],[manDataEco]]&gt;0,Table15[[#This Row],[manDataEco]],Table15[[#This Row],[rawDataEco]])</f>
        <v>1486.5248633566487</v>
      </c>
      <c r="H19" s="25">
        <f>1.36*Table15[[#This Row],[rpm]]*Table15[[#This Row],[motor]]/9550</f>
        <v>381.04846759131686</v>
      </c>
      <c r="I19" s="25">
        <f>1.36*Table15[[#This Row],[rpm]]*Table15[[#This Row],[motorEco]]/9550</f>
        <v>381.04846759131686</v>
      </c>
      <c r="J19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218.83629191321498</v>
      </c>
      <c r="K19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rpm="1800" motorTorque="1487" fuelUsageRatio="218.8"/&gt;</v>
      </c>
      <c r="L19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normRpm="0.818" torque="0.967"/&gt;</v>
      </c>
      <c r="M19" s="3">
        <f>(1-(1-Table15[[#This Row],[rpm]]/Table36[idleRpm])^2)*Table7[idleT]</f>
        <v>-735.35624999999993</v>
      </c>
      <c r="N19" s="3">
        <f>MAX(0,(1-Table7[f1]*(Table36[maxTRpm1]-Table15[[#This Row],[rpm]])^2)*Table36[maxT])</f>
        <v>1471.1106508875739</v>
      </c>
      <c r="O19" s="3">
        <f>MAX(0,(Table36[linearDown]*(1-Table7[f2]*(Table15[[#This Row],[rpm]]-Table36[maxTRpm]))+(1-Table36[linearDown])*(1-Table7[f3]*(Table15[[#This Row],[rpm]]-Table36[maxTRpm])^2))*Table36[maxT])</f>
        <v>1486.5248633566487</v>
      </c>
      <c r="P19" s="3">
        <f>MAX(0,(Table36[maxPS]-Table7[f4]*(Table15[[#This Row],[rpm]]-Table36[maxPRpm])^2)/1.36*9550/MAX(1,Table15[[#This Row],[rpm]]))</f>
        <v>1539.001225490196</v>
      </c>
      <c r="Q19" s="3">
        <f>MAX(0,Table7[Nm2]*MIN(Table36[ratedRpm]/MAX(1,Table15[[#This Row],[rpm]]),1-(MAX(0,Table15[[#This Row],[rpm]]-Table36[ratedRpm])/Table36[fadeOut])^Table36[fadeOutExp]))</f>
        <v>1304.0966386554621</v>
      </c>
      <c r="R19" s="3">
        <f>(1-(1-Table15[[#This Row],[rpm]]/Table36[idleRpm])^2)*Table7[idleTEco]</f>
        <v>-735.35624999999993</v>
      </c>
      <c r="S19" s="3">
        <f>MAX(0,(1-Table7[f1]*(Table36[maxTRpm1]-Table15[[#This Row],[rpm]])^2)*Table36[maxTEco])</f>
        <v>1471.1106508875739</v>
      </c>
      <c r="T19" s="3">
        <f>MAX(0,(Table36[linearDown]*(1-Table7[f2Eco]*(Table15[[#This Row],[rpm]]-Table36[maxTRpm]))+(1-Table36[linearDown])*(1-Table7[f3Eco]*(Table15[[#This Row],[rpm]]-Table36[maxTRpm])^2))*Table36[maxTEco])</f>
        <v>1486.5248633566487</v>
      </c>
      <c r="U19" s="3">
        <f>MAX(0,(Table36[maxPSEco]-Table7[f4Eco]*(Table15[[#This Row],[rpm]]-Table36[maxPRpm])^2)/1.36*9550/MAX(1,Table15[[#This Row],[rpm]]))</f>
        <v>1539.001225490196</v>
      </c>
      <c r="V19" s="3">
        <f>MAX(0,Table7[Nm2Eco]*MIN(Table36[ratedRpm]/MAX(1,Table15[[#This Row],[rpm]]),1-(MAX(0,Table15[[#This Row],[rpm]]-Table36[ratedRpm])/Table36[fadeOut])^Table36[fadeOutExp]))</f>
        <v>1304.0966386554621</v>
      </c>
      <c r="W19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1543.2267801857583</v>
      </c>
      <c r="X19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1543.2267801857583</v>
      </c>
      <c r="Y19" s="3">
        <f>ABS(Table15[[#This Row],[motor]]-Table15[[#This Row],[motorEco]])</f>
        <v>0</v>
      </c>
    </row>
    <row r="20" spans="1:25" x14ac:dyDescent="0.25">
      <c r="A20" s="3">
        <v>1850</v>
      </c>
      <c r="B20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1475.4944769330734</v>
      </c>
      <c r="C20" s="20"/>
      <c r="D20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1475.4944769330734</v>
      </c>
      <c r="E20" s="20"/>
      <c r="F20" s="3">
        <f>Table36[Factor]*IF(Table15[[#This Row],[manualData]]&gt;0,Table15[[#This Row],[manualData]],Table15[[#This Row],[rawData]])</f>
        <v>1475.4944769330734</v>
      </c>
      <c r="G20" s="3">
        <f>Table36[Factor]*IF(Table15[[#This Row],[manDataEco]]&gt;0,Table15[[#This Row],[manDataEco]],Table15[[#This Row],[rawDataEco]])</f>
        <v>1475.4944769330734</v>
      </c>
      <c r="H20" s="25">
        <f>1.36*Table15[[#This Row],[rpm]]*Table15[[#This Row],[motor]]/9550</f>
        <v>388.72713130509032</v>
      </c>
      <c r="I20" s="25">
        <f>1.36*Table15[[#This Row],[rpm]]*Table15[[#This Row],[motorEco]]/9550</f>
        <v>388.72713130509032</v>
      </c>
      <c r="J20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220.77306596537366</v>
      </c>
      <c r="K20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rpm="1850" motorTorque="1475" fuelUsageRatio="220.8"/&gt;</v>
      </c>
      <c r="L20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normRpm="0.841" torque="0.96"/&gt;</v>
      </c>
      <c r="M20" s="3">
        <f>(1-(1-Table15[[#This Row],[rpm]]/Table36[idleRpm])^2)*Table7[idleT]</f>
        <v>-944.728515625</v>
      </c>
      <c r="N20" s="3">
        <f>MAX(0,(1-Table7[f1]*(Table36[maxTRpm1]-Table15[[#This Row],[rpm]])^2)*Table36[maxT])</f>
        <v>1450.6343195266272</v>
      </c>
      <c r="O20" s="3">
        <f>MAX(0,(Table36[linearDown]*(1-Table7[f2]*(Table15[[#This Row],[rpm]]-Table36[maxTRpm]))+(1-Table36[linearDown])*(1-Table7[f3]*(Table15[[#This Row],[rpm]]-Table36[maxTRpm])^2))*Table36[maxT])</f>
        <v>1475.4944769330734</v>
      </c>
      <c r="P20" s="3">
        <f>MAX(0,(Table36[maxPS]-Table7[f4]*(Table15[[#This Row],[rpm]]-Table36[maxPRpm])^2)/1.36*9550/MAX(1,Table15[[#This Row],[rpm]]))</f>
        <v>1501.6767686804449</v>
      </c>
      <c r="Q20" s="3">
        <f>MAX(0,Table7[Nm2]*MIN(Table36[ratedRpm]/MAX(1,Table15[[#This Row],[rpm]]),1-(MAX(0,Table15[[#This Row],[rpm]]-Table36[ratedRpm])/Table36[fadeOut])^Table36[fadeOutExp]))</f>
        <v>1304.0966386554621</v>
      </c>
      <c r="R20" s="3">
        <f>(1-(1-Table15[[#This Row],[rpm]]/Table36[idleRpm])^2)*Table7[idleTEco]</f>
        <v>-944.728515625</v>
      </c>
      <c r="S20" s="3">
        <f>MAX(0,(1-Table7[f1]*(Table36[maxTRpm1]-Table15[[#This Row],[rpm]])^2)*Table36[maxTEco])</f>
        <v>1450.6343195266272</v>
      </c>
      <c r="T20" s="3">
        <f>MAX(0,(Table36[linearDown]*(1-Table7[f2Eco]*(Table15[[#This Row],[rpm]]-Table36[maxTRpm]))+(1-Table36[linearDown])*(1-Table7[f3Eco]*(Table15[[#This Row],[rpm]]-Table36[maxTRpm])^2))*Table36[maxTEco])</f>
        <v>1475.4944769330734</v>
      </c>
      <c r="U20" s="3">
        <f>MAX(0,(Table36[maxPSEco]-Table7[f4Eco]*(Table15[[#This Row],[rpm]]-Table36[maxPRpm])^2)/1.36*9550/MAX(1,Table15[[#This Row],[rpm]]))</f>
        <v>1501.6767686804449</v>
      </c>
      <c r="V20" s="3">
        <f>MAX(0,Table7[Nm2Eco]*MIN(Table36[ratedRpm]/MAX(1,Table15[[#This Row],[rpm]]),1-(MAX(0,Table15[[#This Row],[rpm]]-Table36[ratedRpm])/Table36[fadeOut])^Table36[fadeOutExp]))</f>
        <v>1304.0966386554621</v>
      </c>
      <c r="W20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1502.309053635679</v>
      </c>
      <c r="X20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1502.309053635679</v>
      </c>
      <c r="Y20" s="3">
        <f>ABS(Table15[[#This Row],[motor]]-Table15[[#This Row],[motorEco]])</f>
        <v>0</v>
      </c>
    </row>
    <row r="21" spans="1:25" x14ac:dyDescent="0.25">
      <c r="A21" s="3">
        <v>1900</v>
      </c>
      <c r="B21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1463.5448916408668</v>
      </c>
      <c r="C21" s="20"/>
      <c r="D21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1463.5448916408668</v>
      </c>
      <c r="E21" s="20"/>
      <c r="F21" s="3">
        <f>Table36[Factor]*IF(Table15[[#This Row],[manualData]]&gt;0,Table15[[#This Row],[manualData]],Table15[[#This Row],[rawData]])</f>
        <v>1463.5448916408668</v>
      </c>
      <c r="G21" s="3">
        <f>Table36[Factor]*IF(Table15[[#This Row],[manDataEco]]&gt;0,Table15[[#This Row],[manDataEco]],Table15[[#This Row],[rawDataEco]])</f>
        <v>1463.5448916408668</v>
      </c>
      <c r="H21" s="25">
        <f>1.36*Table15[[#This Row],[rpm]]*Table15[[#This Row],[motor]]/9550</f>
        <v>396</v>
      </c>
      <c r="I21" s="25">
        <f>1.36*Table15[[#This Row],[rpm]]*Table15[[#This Row],[motorEco]]/9550</f>
        <v>396</v>
      </c>
      <c r="J21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222.90159982467674</v>
      </c>
      <c r="K21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rpm="1900" motorTorque="1464" fuelUsageRatio="222.9"/&gt;</v>
      </c>
      <c r="L21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normRpm="0.864" torque="0.952"/&gt;</v>
      </c>
      <c r="M21" s="3">
        <f>(1-(1-Table15[[#This Row],[rpm]]/Table36[idleRpm])^2)*Table7[idleT]</f>
        <v>-1164.3140624999999</v>
      </c>
      <c r="N21" s="3">
        <f>MAX(0,(1-Table7[f1]*(Table36[maxTRpm1]-Table15[[#This Row],[rpm]])^2)*Table36[maxT])</f>
        <v>1427.4278106508875</v>
      </c>
      <c r="O21" s="3">
        <f>MAX(0,(Table36[linearDown]*(1-Table7[f2]*(Table15[[#This Row],[rpm]]-Table36[maxTRpm]))+(1-Table36[linearDown])*(1-Table7[f3]*(Table15[[#This Row],[rpm]]-Table36[maxTRpm])^2))*Table36[maxT])</f>
        <v>1463.5448916408668</v>
      </c>
      <c r="P21" s="3">
        <f>MAX(0,(Table36[maxPS]-Table7[f4]*(Table15[[#This Row],[rpm]]-Table36[maxPRpm])^2)/1.36*9550/MAX(1,Table15[[#This Row],[rpm]]))</f>
        <v>1463.5448916408668</v>
      </c>
      <c r="Q21" s="3">
        <f>MAX(0,Table7[Nm2]*MIN(Table36[ratedRpm]/MAX(1,Table15[[#This Row],[rpm]]),1-(MAX(0,Table15[[#This Row],[rpm]]-Table36[ratedRpm])/Table36[fadeOut])^Table36[fadeOutExp]))</f>
        <v>1304.0966386554621</v>
      </c>
      <c r="R21" s="3">
        <f>(1-(1-Table15[[#This Row],[rpm]]/Table36[idleRpm])^2)*Table7[idleTEco]</f>
        <v>-1164.3140624999999</v>
      </c>
      <c r="S21" s="3">
        <f>MAX(0,(1-Table7[f1]*(Table36[maxTRpm1]-Table15[[#This Row],[rpm]])^2)*Table36[maxTEco])</f>
        <v>1427.4278106508875</v>
      </c>
      <c r="T21" s="3">
        <f>MAX(0,(Table36[linearDown]*(1-Table7[f2Eco]*(Table15[[#This Row],[rpm]]-Table36[maxTRpm]))+(1-Table36[linearDown])*(1-Table7[f3Eco]*(Table15[[#This Row],[rpm]]-Table36[maxTRpm])^2))*Table36[maxTEco])</f>
        <v>1463.5448916408668</v>
      </c>
      <c r="U21" s="3">
        <f>MAX(0,(Table36[maxPSEco]-Table7[f4Eco]*(Table15[[#This Row],[rpm]]-Table36[maxPRpm])^2)/1.36*9550/MAX(1,Table15[[#This Row],[rpm]]))</f>
        <v>1463.5448916408668</v>
      </c>
      <c r="V21" s="3">
        <f>MAX(0,Table7[Nm2Eco]*MIN(Table36[ratedRpm]/MAX(1,Table15[[#This Row],[rpm]]),1-(MAX(0,Table15[[#This Row],[rpm]]-Table36[ratedRpm])/Table36[fadeOut])^Table36[fadeOutExp]))</f>
        <v>1304.0966386554621</v>
      </c>
      <c r="W21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1463.5448916408668</v>
      </c>
      <c r="X21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1463.5448916408668</v>
      </c>
      <c r="Y21" s="3">
        <f>ABS(Table15[[#This Row],[motor]]-Table15[[#This Row],[motorEco]])</f>
        <v>0</v>
      </c>
    </row>
    <row r="22" spans="1:25" x14ac:dyDescent="0.25">
      <c r="A22" s="3">
        <v>1950</v>
      </c>
      <c r="B22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1424.6677036199094</v>
      </c>
      <c r="C22" s="20"/>
      <c r="D22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1424.6677036199094</v>
      </c>
      <c r="E22" s="20"/>
      <c r="F22" s="3">
        <f>Table36[Factor]*IF(Table15[[#This Row],[manualData]]&gt;0,Table15[[#This Row],[manualData]],Table15[[#This Row],[rawData]])</f>
        <v>1424.6677036199094</v>
      </c>
      <c r="G22" s="3">
        <f>Table36[Factor]*IF(Table15[[#This Row],[manDataEco]]&gt;0,Table15[[#This Row],[manDataEco]],Table15[[#This Row],[rawDataEco]])</f>
        <v>1424.6677036199094</v>
      </c>
      <c r="H22" s="25">
        <f>1.36*Table15[[#This Row],[rpm]]*Table15[[#This Row],[motor]]/9550</f>
        <v>395.62499999999994</v>
      </c>
      <c r="I22" s="25">
        <f>1.36*Table15[[#This Row],[rpm]]*Table15[[#This Row],[motorEco]]/9550</f>
        <v>395.62499999999994</v>
      </c>
      <c r="J22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225.22189349112426</v>
      </c>
      <c r="K22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rpm="1950" motorTorque="1425" fuelUsageRatio="225.2"/&gt;</v>
      </c>
      <c r="L22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normRpm="0.886" torque="0.927"/&gt;</v>
      </c>
      <c r="M22" s="3">
        <f>(1-(1-Table15[[#This Row],[rpm]]/Table36[idleRpm])^2)*Table7[idleT]</f>
        <v>-1394.1128906249999</v>
      </c>
      <c r="N22" s="3">
        <f>MAX(0,(1-Table7[f1]*(Table36[maxTRpm1]-Table15[[#This Row],[rpm]])^2)*Table36[maxT])</f>
        <v>1401.491124260355</v>
      </c>
      <c r="O22" s="3">
        <f>MAX(0,(Table36[linearDown]*(1-Table7[f2]*(Table15[[#This Row],[rpm]]-Table36[maxTRpm]))+(1-Table36[linearDown])*(1-Table7[f3]*(Table15[[#This Row],[rpm]]-Table36[maxTRpm])^2))*Table36[maxT])</f>
        <v>1450.6761074800288</v>
      </c>
      <c r="P22" s="3">
        <f>MAX(0,(Table36[maxPS]-Table7[f4]*(Table15[[#This Row],[rpm]]-Table36[maxPRpm])^2)/1.36*9550/MAX(1,Table15[[#This Row],[rpm]]))</f>
        <v>1424.6677036199094</v>
      </c>
      <c r="Q22" s="3">
        <f>MAX(0,Table7[Nm2]*MIN(Table36[ratedRpm]/MAX(1,Table15[[#This Row],[rpm]]),1-(MAX(0,Table15[[#This Row],[rpm]]-Table36[ratedRpm])/Table36[fadeOut])^Table36[fadeOutExp]))</f>
        <v>1304.0966386554621</v>
      </c>
      <c r="R22" s="3">
        <f>(1-(1-Table15[[#This Row],[rpm]]/Table36[idleRpm])^2)*Table7[idleTEco]</f>
        <v>-1394.1128906249999</v>
      </c>
      <c r="S22" s="3">
        <f>MAX(0,(1-Table7[f1]*(Table36[maxTRpm1]-Table15[[#This Row],[rpm]])^2)*Table36[maxTEco])</f>
        <v>1401.491124260355</v>
      </c>
      <c r="T22" s="3">
        <f>MAX(0,(Table36[linearDown]*(1-Table7[f2Eco]*(Table15[[#This Row],[rpm]]-Table36[maxTRpm]))+(1-Table36[linearDown])*(1-Table7[f3Eco]*(Table15[[#This Row],[rpm]]-Table36[maxTRpm])^2))*Table36[maxTEco])</f>
        <v>1450.6761074800288</v>
      </c>
      <c r="U22" s="3">
        <f>MAX(0,(Table36[maxPSEco]-Table7[f4Eco]*(Table15[[#This Row],[rpm]]-Table36[maxPRpm])^2)/1.36*9550/MAX(1,Table15[[#This Row],[rpm]]))</f>
        <v>1424.6677036199094</v>
      </c>
      <c r="V22" s="3">
        <f>MAX(0,Table7[Nm2Eco]*MIN(Table36[ratedRpm]/MAX(1,Table15[[#This Row],[rpm]]),1-(MAX(0,Table15[[#This Row],[rpm]]-Table36[ratedRpm])/Table36[fadeOut])^Table36[fadeOutExp]))</f>
        <v>1304.0966386554621</v>
      </c>
      <c r="W22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1426.0180995475112</v>
      </c>
      <c r="X22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1426.0180995475112</v>
      </c>
      <c r="Y22" s="3">
        <f>ABS(Table15[[#This Row],[motor]]-Table15[[#This Row],[motorEco]])</f>
        <v>0</v>
      </c>
    </row>
    <row r="23" spans="1:25" x14ac:dyDescent="0.25">
      <c r="A23" s="3">
        <v>2000</v>
      </c>
      <c r="B23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1385.1011029411764</v>
      </c>
      <c r="C23" s="20"/>
      <c r="D23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1385.1011029411764</v>
      </c>
      <c r="E23" s="20"/>
      <c r="F23" s="3">
        <f>Table36[Factor]*IF(Table15[[#This Row],[manualData]]&gt;0,Table15[[#This Row],[manualData]],Table15[[#This Row],[rawData]])</f>
        <v>1385.1011029411764</v>
      </c>
      <c r="G23" s="3">
        <f>Table36[Factor]*IF(Table15[[#This Row],[manDataEco]]&gt;0,Table15[[#This Row],[manDataEco]],Table15[[#This Row],[rawDataEco]])</f>
        <v>1385.1011029411764</v>
      </c>
      <c r="H23" s="25">
        <f>1.36*Table15[[#This Row],[rpm]]*Table15[[#This Row],[motor]]/9550</f>
        <v>394.49999999999994</v>
      </c>
      <c r="I23" s="25">
        <f>1.36*Table15[[#This Row],[rpm]]*Table15[[#This Row],[motorEco]]/9550</f>
        <v>394.49999999999994</v>
      </c>
      <c r="J23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227.73394696471618</v>
      </c>
      <c r="K23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rpm="2000" motorTorque="1385" fuelUsageRatio="227.7"/&gt;</v>
      </c>
      <c r="L23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normRpm="0.909" torque="0.901"/&gt;</v>
      </c>
      <c r="M23" s="3">
        <f>(1-(1-Table15[[#This Row],[rpm]]/Table36[idleRpm])^2)*Table7[idleT]</f>
        <v>-1634.125</v>
      </c>
      <c r="N23" s="3">
        <f>MAX(0,(1-Table7[f1]*(Table36[maxTRpm1]-Table15[[#This Row],[rpm]])^2)*Table36[maxT])</f>
        <v>1372.8242603550295</v>
      </c>
      <c r="O23" s="3">
        <f>MAX(0,(Table36[linearDown]*(1-Table7[f2]*(Table15[[#This Row],[rpm]]-Table36[maxTRpm]))+(1-Table36[linearDown])*(1-Table7[f3]*(Table15[[#This Row],[rpm]]-Table36[maxTRpm])^2))*Table36[maxT])</f>
        <v>1436.8881244505599</v>
      </c>
      <c r="P23" s="3">
        <f>MAX(0,(Table36[maxPS]-Table7[f4]*(Table15[[#This Row],[rpm]]-Table36[maxPRpm])^2)/1.36*9550/MAX(1,Table15[[#This Row],[rpm]]))</f>
        <v>1385.1011029411764</v>
      </c>
      <c r="Q23" s="3">
        <f>MAX(0,Table7[Nm2]*MIN(Table36[ratedRpm]/MAX(1,Table15[[#This Row],[rpm]]),1-(MAX(0,Table15[[#This Row],[rpm]]-Table36[ratedRpm])/Table36[fadeOut])^Table36[fadeOutExp]))</f>
        <v>1304.0966386554621</v>
      </c>
      <c r="R23" s="3">
        <f>(1-(1-Table15[[#This Row],[rpm]]/Table36[idleRpm])^2)*Table7[idleTEco]</f>
        <v>-1634.125</v>
      </c>
      <c r="S23" s="3">
        <f>MAX(0,(1-Table7[f1]*(Table36[maxTRpm1]-Table15[[#This Row],[rpm]])^2)*Table36[maxTEco])</f>
        <v>1372.8242603550295</v>
      </c>
      <c r="T23" s="3">
        <f>MAX(0,(Table36[linearDown]*(1-Table7[f2Eco]*(Table15[[#This Row],[rpm]]-Table36[maxTRpm]))+(1-Table36[linearDown])*(1-Table7[f3Eco]*(Table15[[#This Row],[rpm]]-Table36[maxTRpm])^2))*Table36[maxTEco])</f>
        <v>1436.8881244505599</v>
      </c>
      <c r="U23" s="3">
        <f>MAX(0,(Table36[maxPSEco]-Table7[f4Eco]*(Table15[[#This Row],[rpm]]-Table36[maxPRpm])^2)/1.36*9550/MAX(1,Table15[[#This Row],[rpm]]))</f>
        <v>1385.1011029411764</v>
      </c>
      <c r="V23" s="3">
        <f>MAX(0,Table7[Nm2Eco]*MIN(Table36[ratedRpm]/MAX(1,Table15[[#This Row],[rpm]]),1-(MAX(0,Table15[[#This Row],[rpm]]-Table36[ratedRpm])/Table36[fadeOut])^Table36[fadeOutExp]))</f>
        <v>1304.0966386554621</v>
      </c>
      <c r="W23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1390.3676470588234</v>
      </c>
      <c r="X23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1390.3676470588234</v>
      </c>
      <c r="Y23" s="3">
        <f>ABS(Table15[[#This Row],[motor]]-Table15[[#This Row],[motorEco]])</f>
        <v>0</v>
      </c>
    </row>
    <row r="24" spans="1:25" x14ac:dyDescent="0.25">
      <c r="A24" s="3">
        <v>2050</v>
      </c>
      <c r="B24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1344.8955344332855</v>
      </c>
      <c r="C24" s="20"/>
      <c r="D24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1344.8955344332855</v>
      </c>
      <c r="E24" s="20"/>
      <c r="F24" s="3">
        <f>Table36[Factor]*IF(Table15[[#This Row],[manualData]]&gt;0,Table15[[#This Row],[manualData]],Table15[[#This Row],[rawData]])</f>
        <v>1344.8955344332855</v>
      </c>
      <c r="G24" s="3">
        <f>Table36[Factor]*IF(Table15[[#This Row],[manDataEco]]&gt;0,Table15[[#This Row],[manDataEco]],Table15[[#This Row],[rawDataEco]])</f>
        <v>1344.8955344332855</v>
      </c>
      <c r="H24" s="25">
        <f>1.36*Table15[[#This Row],[rpm]]*Table15[[#This Row],[motor]]/9550</f>
        <v>392.625</v>
      </c>
      <c r="I24" s="25">
        <f>1.36*Table15[[#This Row],[rpm]]*Table15[[#This Row],[motorEco]]/9550</f>
        <v>392.625</v>
      </c>
      <c r="J24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230.43776024545252</v>
      </c>
      <c r="K24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rpm="2050" motorTorque="1345" fuelUsageRatio="230.4"/&gt;</v>
      </c>
      <c r="L24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normRpm="0.932" torque="0.875"/&gt;</v>
      </c>
      <c r="M24" s="3">
        <f>(1-(1-Table15[[#This Row],[rpm]]/Table36[idleRpm])^2)*Table7[idleT]</f>
        <v>-1884.350390625</v>
      </c>
      <c r="N24" s="3">
        <f>MAX(0,(1-Table7[f1]*(Table36[maxTRpm1]-Table15[[#This Row],[rpm]])^2)*Table36[maxT])</f>
        <v>1341.427218934911</v>
      </c>
      <c r="O24" s="3">
        <f>MAX(0,(Table36[linearDown]*(1-Table7[f2]*(Table15[[#This Row],[rpm]]-Table36[maxTRpm]))+(1-Table36[linearDown])*(1-Table7[f3]*(Table15[[#This Row],[rpm]]-Table36[maxTRpm])^2))*Table36[maxT])</f>
        <v>1422.1809425524596</v>
      </c>
      <c r="P24" s="3">
        <f>MAX(0,(Table36[maxPS]-Table7[f4]*(Table15[[#This Row],[rpm]]-Table36[maxPRpm])^2)/1.36*9550/MAX(1,Table15[[#This Row],[rpm]]))</f>
        <v>1344.8955344332855</v>
      </c>
      <c r="Q24" s="3">
        <f>MAX(0,Table7[Nm2]*MIN(Table36[ratedRpm]/MAX(1,Table15[[#This Row],[rpm]]),1-(MAX(0,Table15[[#This Row],[rpm]]-Table36[ratedRpm])/Table36[fadeOut])^Table36[fadeOutExp]))</f>
        <v>1304.0966386554621</v>
      </c>
      <c r="R24" s="3">
        <f>(1-(1-Table15[[#This Row],[rpm]]/Table36[idleRpm])^2)*Table7[idleTEco]</f>
        <v>-1884.350390625</v>
      </c>
      <c r="S24" s="3">
        <f>MAX(0,(1-Table7[f1]*(Table36[maxTRpm1]-Table15[[#This Row],[rpm]])^2)*Table36[maxTEco])</f>
        <v>1341.427218934911</v>
      </c>
      <c r="T24" s="3">
        <f>MAX(0,(Table36[linearDown]*(1-Table7[f2Eco]*(Table15[[#This Row],[rpm]]-Table36[maxTRpm]))+(1-Table36[linearDown])*(1-Table7[f3Eco]*(Table15[[#This Row],[rpm]]-Table36[maxTRpm])^2))*Table36[maxTEco])</f>
        <v>1422.1809425524596</v>
      </c>
      <c r="U24" s="3">
        <f>MAX(0,(Table36[maxPSEco]-Table7[f4Eco]*(Table15[[#This Row],[rpm]]-Table36[maxPRpm])^2)/1.36*9550/MAX(1,Table15[[#This Row],[rpm]]))</f>
        <v>1344.8955344332855</v>
      </c>
      <c r="V24" s="3">
        <f>MAX(0,Table7[Nm2Eco]*MIN(Table36[ratedRpm]/MAX(1,Table15[[#This Row],[rpm]]),1-(MAX(0,Table15[[#This Row],[rpm]]-Table36[ratedRpm])/Table36[fadeOut])^Table36[fadeOutExp]))</f>
        <v>1304.0966386554621</v>
      </c>
      <c r="W24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1356.4562410329984</v>
      </c>
      <c r="X24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1356.4562410329984</v>
      </c>
      <c r="Y24" s="3">
        <f>ABS(Table15[[#This Row],[motor]]-Table15[[#This Row],[motorEco]])</f>
        <v>0</v>
      </c>
    </row>
    <row r="25" spans="1:25" x14ac:dyDescent="0.25">
      <c r="A25" s="3">
        <v>2100</v>
      </c>
      <c r="B25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1304.0966386554621</v>
      </c>
      <c r="C25" s="20"/>
      <c r="D25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1304.0966386554621</v>
      </c>
      <c r="E25" s="20"/>
      <c r="F25" s="3">
        <f>Table36[Factor]*IF(Table15[[#This Row],[manualData]]&gt;0,Table15[[#This Row],[manualData]],Table15[[#This Row],[rawData]])</f>
        <v>1304.0966386554621</v>
      </c>
      <c r="G25" s="3">
        <f>Table36[Factor]*IF(Table15[[#This Row],[manDataEco]]&gt;0,Table15[[#This Row],[manDataEco]],Table15[[#This Row],[rawDataEco]])</f>
        <v>1304.0966386554621</v>
      </c>
      <c r="H25" s="25">
        <f>1.36*Table15[[#This Row],[rpm]]*Table15[[#This Row],[motor]]/9550</f>
        <v>390</v>
      </c>
      <c r="I25" s="25">
        <f>1.36*Table15[[#This Row],[rpm]]*Table15[[#This Row],[motorEco]]/9550</f>
        <v>390</v>
      </c>
      <c r="J25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233.33333333333331</v>
      </c>
      <c r="K25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rpm="2100" motorTorque="1304" fuelUsageRatio="233.3"/&gt;</v>
      </c>
      <c r="L25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normRpm="0.955" torque="0.849"/&gt;</v>
      </c>
      <c r="M25" s="3">
        <f>(1-(1-Table15[[#This Row],[rpm]]/Table36[idleRpm])^2)*Table7[idleT]</f>
        <v>-2144.7890625</v>
      </c>
      <c r="N25" s="3">
        <f>MAX(0,(1-Table7[f1]*(Table36[maxTRpm1]-Table15[[#This Row],[rpm]])^2)*Table36[maxT])</f>
        <v>1307.3</v>
      </c>
      <c r="O25" s="3">
        <f>MAX(0,(Table36[linearDown]*(1-Table7[f2]*(Table15[[#This Row],[rpm]]-Table36[maxTRpm]))+(1-Table36[linearDown])*(1-Table7[f3]*(Table15[[#This Row],[rpm]]-Table36[maxTRpm])^2))*Table36[maxT])</f>
        <v>1406.5545617857279</v>
      </c>
      <c r="P25" s="3">
        <f>MAX(0,(Table36[maxPS]-Table7[f4]*(Table15[[#This Row],[rpm]]-Table36[maxPRpm])^2)/1.36*9550/MAX(1,Table15[[#This Row],[rpm]]))</f>
        <v>1304.0966386554621</v>
      </c>
      <c r="Q25" s="3">
        <f>MAX(0,Table7[Nm2]*MIN(Table36[ratedRpm]/MAX(1,Table15[[#This Row],[rpm]]),1-(MAX(0,Table15[[#This Row],[rpm]]-Table36[ratedRpm])/Table36[fadeOut])^Table36[fadeOutExp]))</f>
        <v>1304.0966386554621</v>
      </c>
      <c r="R25" s="3">
        <f>(1-(1-Table15[[#This Row],[rpm]]/Table36[idleRpm])^2)*Table7[idleTEco]</f>
        <v>-2144.7890625</v>
      </c>
      <c r="S25" s="3">
        <f>MAX(0,(1-Table7[f1]*(Table36[maxTRpm1]-Table15[[#This Row],[rpm]])^2)*Table36[maxTEco])</f>
        <v>1307.3</v>
      </c>
      <c r="T25" s="3">
        <f>MAX(0,(Table36[linearDown]*(1-Table7[f2Eco]*(Table15[[#This Row],[rpm]]-Table36[maxTRpm]))+(1-Table36[linearDown])*(1-Table7[f3Eco]*(Table15[[#This Row],[rpm]]-Table36[maxTRpm])^2))*Table36[maxTEco])</f>
        <v>1406.5545617857279</v>
      </c>
      <c r="U25" s="3">
        <f>MAX(0,(Table36[maxPSEco]-Table7[f4Eco]*(Table15[[#This Row],[rpm]]-Table36[maxPRpm])^2)/1.36*9550/MAX(1,Table15[[#This Row],[rpm]]))</f>
        <v>1304.0966386554621</v>
      </c>
      <c r="V25" s="3">
        <f>MAX(0,Table7[Nm2Eco]*MIN(Table36[ratedRpm]/MAX(1,Table15[[#This Row],[rpm]]),1-(MAX(0,Table15[[#This Row],[rpm]]-Table36[ratedRpm])/Table36[fadeOut])^Table36[fadeOutExp]))</f>
        <v>1304.0966386554621</v>
      </c>
      <c r="W25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1324.159663865546</v>
      </c>
      <c r="X25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1324.159663865546</v>
      </c>
      <c r="Y25" s="3">
        <f>ABS(Table15[[#This Row],[motor]]-Table15[[#This Row],[motorEco]])</f>
        <v>0</v>
      </c>
    </row>
    <row r="26" spans="1:25" x14ac:dyDescent="0.25">
      <c r="A26" s="3">
        <v>2150</v>
      </c>
      <c r="B26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1157.2455239922192</v>
      </c>
      <c r="C26" s="20"/>
      <c r="D26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1157.2455239922192</v>
      </c>
      <c r="E26" s="20"/>
      <c r="F26" s="3">
        <f>Table36[Factor]*IF(Table15[[#This Row],[manualData]]&gt;0,Table15[[#This Row],[manualData]],Table15[[#This Row],[rawData]])</f>
        <v>1157.2455239922192</v>
      </c>
      <c r="G26" s="3">
        <f>Table36[Factor]*IF(Table15[[#This Row],[manDataEco]]&gt;0,Table15[[#This Row],[manDataEco]],Table15[[#This Row],[rawDataEco]])</f>
        <v>1157.2455239922192</v>
      </c>
      <c r="H26" s="25">
        <f>1.36*Table15[[#This Row],[rpm]]*Table15[[#This Row],[motor]]/9550</f>
        <v>354.3231321626439</v>
      </c>
      <c r="I26" s="25">
        <f>1.36*Table15[[#This Row],[rpm]]*Table15[[#This Row],[motorEco]]/9550</f>
        <v>354.3231321626439</v>
      </c>
      <c r="J26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248.55408586904659</v>
      </c>
      <c r="K26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rpm="2150" motorTorque="1157" fuelUsageRatio="248.6"/&gt;</v>
      </c>
      <c r="L26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normRpm="0.977" torque="0.753"/&gt;</v>
      </c>
      <c r="M26" s="3">
        <f>(1-(1-Table15[[#This Row],[rpm]]/Table36[idleRpm])^2)*Table7[idleT]</f>
        <v>-2415.4410156250001</v>
      </c>
      <c r="N26" s="3">
        <f>MAX(0,(1-Table7[f1]*(Table36[maxTRpm1]-Table15[[#This Row],[rpm]])^2)*Table36[maxT])</f>
        <v>1270.4426035502959</v>
      </c>
      <c r="O26" s="3">
        <f>MAX(0,(Table36[linearDown]*(1-Table7[f2]*(Table15[[#This Row],[rpm]]-Table36[maxTRpm]))+(1-Table36[linearDown])*(1-Table7[f3]*(Table15[[#This Row],[rpm]]-Table36[maxTRpm])^2))*Table36[maxT])</f>
        <v>1390.0089821503648</v>
      </c>
      <c r="P26" s="3">
        <f>MAX(0,(Table36[maxPS]-Table7[f4]*(Table15[[#This Row],[rpm]]-Table36[maxPRpm])^2)/1.36*9550/MAX(1,Table15[[#This Row],[rpm]]))</f>
        <v>1262.7458105335154</v>
      </c>
      <c r="Q26" s="3">
        <f>MAX(0,Table7[Nm2]*MIN(Table36[ratedRpm]/MAX(1,Table15[[#This Row],[rpm]]),1-(MAX(0,Table15[[#This Row],[rpm]]-Table36[ratedRpm])/Table36[fadeOut])^Table36[fadeOutExp]))</f>
        <v>1157.2455239922192</v>
      </c>
      <c r="R26" s="3">
        <f>(1-(1-Table15[[#This Row],[rpm]]/Table36[idleRpm])^2)*Table7[idleTEco]</f>
        <v>-2415.4410156250001</v>
      </c>
      <c r="S26" s="3">
        <f>MAX(0,(1-Table7[f1]*(Table36[maxTRpm1]-Table15[[#This Row],[rpm]])^2)*Table36[maxTEco])</f>
        <v>1270.4426035502959</v>
      </c>
      <c r="T26" s="3">
        <f>MAX(0,(Table36[linearDown]*(1-Table7[f2Eco]*(Table15[[#This Row],[rpm]]-Table36[maxTRpm]))+(1-Table36[linearDown])*(1-Table7[f3Eco]*(Table15[[#This Row],[rpm]]-Table36[maxTRpm])^2))*Table36[maxTEco])</f>
        <v>1390.0089821503648</v>
      </c>
      <c r="U26" s="3">
        <f>MAX(0,(Table36[maxPSEco]-Table7[f4Eco]*(Table15[[#This Row],[rpm]]-Table36[maxPRpm])^2)/1.36*9550/MAX(1,Table15[[#This Row],[rpm]]))</f>
        <v>1262.7458105335154</v>
      </c>
      <c r="V26" s="3">
        <f>MAX(0,Table7[Nm2Eco]*MIN(Table36[ratedRpm]/MAX(1,Table15[[#This Row],[rpm]]),1-(MAX(0,Table15[[#This Row],[rpm]]-Table36[ratedRpm])/Table36[fadeOut])^Table36[fadeOutExp]))</f>
        <v>1157.2455239922192</v>
      </c>
      <c r="W26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1293.3652530779752</v>
      </c>
      <c r="X26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1293.3652530779752</v>
      </c>
      <c r="Y26" s="3">
        <f>ABS(Table15[[#This Row],[motor]]-Table15[[#This Row],[motorEco]])</f>
        <v>0</v>
      </c>
    </row>
    <row r="27" spans="1:25" x14ac:dyDescent="0.25">
      <c r="A27" s="3">
        <v>2200</v>
      </c>
      <c r="B27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716.69218000249055</v>
      </c>
      <c r="C27" s="20"/>
      <c r="D27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716.69218000249055</v>
      </c>
      <c r="E27" s="20"/>
      <c r="F27" s="3">
        <f>Table36[Factor]*IF(Table15[[#This Row],[manualData]]&gt;0,Table15[[#This Row],[manualData]],Table15[[#This Row],[rawData]])</f>
        <v>716.69218000249055</v>
      </c>
      <c r="G27" s="3">
        <f>Table36[Factor]*IF(Table15[[#This Row],[manDataEco]]&gt;0,Table15[[#This Row],[manDataEco]],Table15[[#This Row],[rawDataEco]])</f>
        <v>716.69218000249055</v>
      </c>
      <c r="H27" s="3">
        <f>1.36*Table15[[#This Row],[rpm]]*Table15[[#This Row],[motor]]/9550</f>
        <v>224.53853430025674</v>
      </c>
      <c r="I27" s="3">
        <f>1.36*Table15[[#This Row],[rpm]]*Table15[[#This Row],[motorEco]]/9550</f>
        <v>224.53853430025674</v>
      </c>
      <c r="J27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319.43491199545491</v>
      </c>
      <c r="K27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rpm="2200" motorTorque="717" fuelUsageRatio="319.4"/&gt;</v>
      </c>
      <c r="L27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 xml:space="preserve">        &lt;torque normRpm="1" torque="0.466"/&gt;</v>
      </c>
      <c r="M27" s="3">
        <f>(1-(1-Table15[[#This Row],[rpm]]/Table36[idleRpm])^2)*Table7[idleT]</f>
        <v>-2696.3062500000001</v>
      </c>
      <c r="N27" s="3">
        <f>MAX(0,(1-Table7[f1]*(Table36[maxTRpm1]-Table15[[#This Row],[rpm]])^2)*Table36[maxT])</f>
        <v>1230.8550295857988</v>
      </c>
      <c r="O27" s="3">
        <f>MAX(0,(Table36[linearDown]*(1-Table7[f2]*(Table15[[#This Row],[rpm]]-Table36[maxTRpm]))+(1-Table36[linearDown])*(1-Table7[f3]*(Table15[[#This Row],[rpm]]-Table36[maxTRpm])^2))*Table36[maxT])</f>
        <v>1372.5442036463705</v>
      </c>
      <c r="P27" s="3">
        <f>MAX(0,(Table36[maxPS]-Table7[f4]*(Table15[[#This Row],[rpm]]-Table36[maxPRpm])^2)/1.36*9550/MAX(1,Table15[[#This Row],[rpm]]))</f>
        <v>1220.8806818181818</v>
      </c>
      <c r="Q27" s="3">
        <f>MAX(0,Table7[Nm2]*MIN(Table36[ratedRpm]/MAX(1,Table15[[#This Row],[rpm]]),1-(MAX(0,Table15[[#This Row],[rpm]]-Table36[ratedRpm])/Table36[fadeOut])^Table36[fadeOutExp]))</f>
        <v>716.69218000249055</v>
      </c>
      <c r="R27" s="3">
        <f>(1-(1-Table15[[#This Row],[rpm]]/Table36[idleRpm])^2)*Table7[idleTEco]</f>
        <v>-2696.3062500000001</v>
      </c>
      <c r="S27" s="3">
        <f>MAX(0,(1-Table7[f1]*(Table36[maxTRpm1]-Table15[[#This Row],[rpm]])^2)*Table36[maxTEco])</f>
        <v>1230.8550295857988</v>
      </c>
      <c r="T27" s="3">
        <f>MAX(0,(Table36[linearDown]*(1-Table7[f2Eco]*(Table15[[#This Row],[rpm]]-Table36[maxTRpm]))+(1-Table36[linearDown])*(1-Table7[f3Eco]*(Table15[[#This Row],[rpm]]-Table36[maxTRpm])^2))*Table36[maxTEco])</f>
        <v>1372.5442036463705</v>
      </c>
      <c r="U27" s="3">
        <f>MAX(0,(Table36[maxPSEco]-Table7[f4Eco]*(Table15[[#This Row],[rpm]]-Table36[maxPRpm])^2)/1.36*9550/MAX(1,Table15[[#This Row],[rpm]]))</f>
        <v>1220.8806818181818</v>
      </c>
      <c r="V27" s="3">
        <f>MAX(0,Table7[Nm2Eco]*MIN(Table36[ratedRpm]/MAX(1,Table15[[#This Row],[rpm]]),1-(MAX(0,Table15[[#This Row],[rpm]]-Table36[ratedRpm])/Table36[fadeOut])^Table36[fadeOutExp]))</f>
        <v>716.69218000249055</v>
      </c>
      <c r="W27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1263.9705882352939</v>
      </c>
      <c r="X27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1263.9705882352939</v>
      </c>
      <c r="Y27" s="3">
        <f>ABS(Table15[[#This Row],[motor]]-Table15[[#This Row],[motorEco]])</f>
        <v>0</v>
      </c>
    </row>
    <row r="28" spans="1:25" x14ac:dyDescent="0.25">
      <c r="A28" s="3">
        <v>2250</v>
      </c>
      <c r="B28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28" s="20"/>
      <c r="D28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28" s="20"/>
      <c r="F28" s="3">
        <f>Table36[Factor]*IF(Table15[[#This Row],[manualData]]&gt;0,Table15[[#This Row],[manualData]],Table15[[#This Row],[rawData]])</f>
        <v>0</v>
      </c>
      <c r="G28" s="3">
        <f>Table36[Factor]*IF(Table15[[#This Row],[manDataEco]]&gt;0,Table15[[#This Row],[manDataEco]],Table15[[#This Row],[rawDataEco]])</f>
        <v>0</v>
      </c>
      <c r="H28" s="3">
        <f>1.36*Table15[[#This Row],[rpm]]*Table15[[#This Row],[motor]]/9550</f>
        <v>0</v>
      </c>
      <c r="I28" s="3">
        <f>1.36*Table15[[#This Row],[rpm]]*Table15[[#This Row],[motorEco]]/9550</f>
        <v>0</v>
      </c>
      <c r="J28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28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rpm="2250" motorTorque="0" fuelUsageRatio="466.7"/&gt;</v>
      </c>
      <c r="L28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28" s="3">
        <f>(1-(1-Table15[[#This Row],[rpm]]/Table36[idleRpm])^2)*Table7[idleT]</f>
        <v>-2987.384765625</v>
      </c>
      <c r="N28" s="3">
        <f>MAX(0,(1-Table7[f1]*(Table36[maxTRpm1]-Table15[[#This Row],[rpm]])^2)*Table36[maxT])</f>
        <v>1188.5372781065089</v>
      </c>
      <c r="O28" s="3">
        <f>MAX(0,(Table36[linearDown]*(1-Table7[f2]*(Table15[[#This Row],[rpm]]-Table36[maxTRpm]))+(1-Table36[linearDown])*(1-Table7[f3]*(Table15[[#This Row],[rpm]]-Table36[maxTRpm])^2))*Table36[maxT])</f>
        <v>1354.1602262737451</v>
      </c>
      <c r="P28" s="3">
        <f>MAX(0,(Table36[maxPS]-Table7[f4]*(Table15[[#This Row],[rpm]]-Table36[maxPRpm])^2)/1.36*9550/MAX(1,Table15[[#This Row],[rpm]]))</f>
        <v>1178.5355392156862</v>
      </c>
      <c r="Q28" s="3">
        <f>MAX(0,Table7[Nm2]*MIN(Table36[ratedRpm]/MAX(1,Table15[[#This Row],[rpm]]),1-(MAX(0,Table15[[#This Row],[rpm]]-Table36[ratedRpm])/Table36[fadeOut])^Table36[fadeOutExp]))</f>
        <v>0</v>
      </c>
      <c r="R28" s="3">
        <f>(1-(1-Table15[[#This Row],[rpm]]/Table36[idleRpm])^2)*Table7[idleTEco]</f>
        <v>-2987.384765625</v>
      </c>
      <c r="S28" s="3">
        <f>MAX(0,(1-Table7[f1]*(Table36[maxTRpm1]-Table15[[#This Row],[rpm]])^2)*Table36[maxTEco])</f>
        <v>1188.5372781065089</v>
      </c>
      <c r="T28" s="3">
        <f>MAX(0,(Table36[linearDown]*(1-Table7[f2Eco]*(Table15[[#This Row],[rpm]]-Table36[maxTRpm]))+(1-Table36[linearDown])*(1-Table7[f3Eco]*(Table15[[#This Row],[rpm]]-Table36[maxTRpm])^2))*Table36[maxTEco])</f>
        <v>1354.1602262737451</v>
      </c>
      <c r="U28" s="3">
        <f>MAX(0,(Table36[maxPSEco]-Table7[f4Eco]*(Table15[[#This Row],[rpm]]-Table36[maxPRpm])^2)/1.36*9550/MAX(1,Table15[[#This Row],[rpm]]))</f>
        <v>1178.5355392156862</v>
      </c>
      <c r="V28" s="3">
        <f>MAX(0,Table7[Nm2Eco]*MIN(Table36[ratedRpm]/MAX(1,Table15[[#This Row],[rpm]]),1-(MAX(0,Table15[[#This Row],[rpm]]-Table36[ratedRpm])/Table36[fadeOut])^Table36[fadeOutExp]))</f>
        <v>0</v>
      </c>
      <c r="W28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1235.8823529411764</v>
      </c>
      <c r="X28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1235.8823529411764</v>
      </c>
      <c r="Y28" s="3">
        <f>ABS(Table15[[#This Row],[motor]]-Table15[[#This Row],[motorEco]])</f>
        <v>0</v>
      </c>
    </row>
    <row r="29" spans="1:25" x14ac:dyDescent="0.25">
      <c r="A29" s="3">
        <v>2300</v>
      </c>
      <c r="B29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29" s="20"/>
      <c r="D29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29" s="20"/>
      <c r="F29" s="3">
        <f>Table36[Factor]*IF(Table15[[#This Row],[manualData]]&gt;0,Table15[[#This Row],[manualData]],Table15[[#This Row],[rawData]])</f>
        <v>0</v>
      </c>
      <c r="G29" s="3">
        <f>Table36[Factor]*IF(Table15[[#This Row],[manDataEco]]&gt;0,Table15[[#This Row],[manDataEco]],Table15[[#This Row],[rawDataEco]])</f>
        <v>0</v>
      </c>
      <c r="H29" s="3">
        <f>1.36*Table15[[#This Row],[rpm]]*Table15[[#This Row],[motor]]/9550</f>
        <v>0</v>
      </c>
      <c r="I29" s="3">
        <f>1.36*Table15[[#This Row],[rpm]]*Table15[[#This Row],[motorEco]]/9550</f>
        <v>0</v>
      </c>
      <c r="J29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29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 xml:space="preserve">        &lt;torque rpm="2300" motorTorque="0" fuelUsageRatio="466.7"/&gt;</v>
      </c>
      <c r="L29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29" s="3">
        <f>(1-(1-Table15[[#This Row],[rpm]]/Table36[idleRpm])^2)*Table7[idleT]</f>
        <v>-3288.6765624999998</v>
      </c>
      <c r="N29" s="3">
        <f>MAX(0,(1-Table7[f1]*(Table36[maxTRpm1]-Table15[[#This Row],[rpm]])^2)*Table36[maxT])</f>
        <v>1143.489349112426</v>
      </c>
      <c r="O29" s="3">
        <f>MAX(0,(Table36[linearDown]*(1-Table7[f2]*(Table15[[#This Row],[rpm]]-Table36[maxTRpm]))+(1-Table36[linearDown])*(1-Table7[f3]*(Table15[[#This Row],[rpm]]-Table36[maxTRpm])^2))*Table36[maxT])</f>
        <v>1334.8570500324884</v>
      </c>
      <c r="P29" s="3">
        <f>MAX(0,(Table36[maxPS]-Table7[f4]*(Table15[[#This Row],[rpm]]-Table36[maxPRpm])^2)/1.36*9550/MAX(1,Table15[[#This Row],[rpm]]))</f>
        <v>1135.7416879795394</v>
      </c>
      <c r="Q29" s="3">
        <f>MAX(0,Table7[Nm2]*MIN(Table36[ratedRpm]/MAX(1,Table15[[#This Row],[rpm]]),1-(MAX(0,Table15[[#This Row],[rpm]]-Table36[ratedRpm])/Table36[fadeOut])^Table36[fadeOutExp]))</f>
        <v>0</v>
      </c>
      <c r="R29" s="3">
        <f>(1-(1-Table15[[#This Row],[rpm]]/Table36[idleRpm])^2)*Table7[idleTEco]</f>
        <v>-3288.6765624999998</v>
      </c>
      <c r="S29" s="3">
        <f>MAX(0,(1-Table7[f1]*(Table36[maxTRpm1]-Table15[[#This Row],[rpm]])^2)*Table36[maxTEco])</f>
        <v>1143.489349112426</v>
      </c>
      <c r="T29" s="3">
        <f>MAX(0,(Table36[linearDown]*(1-Table7[f2Eco]*(Table15[[#This Row],[rpm]]-Table36[maxTRpm]))+(1-Table36[linearDown])*(1-Table7[f3Eco]*(Table15[[#This Row],[rpm]]-Table36[maxTRpm])^2))*Table36[maxTEco])</f>
        <v>1334.8570500324884</v>
      </c>
      <c r="U29" s="3">
        <f>MAX(0,(Table36[maxPSEco]-Table7[f4Eco]*(Table15[[#This Row],[rpm]]-Table36[maxPRpm])^2)/1.36*9550/MAX(1,Table15[[#This Row],[rpm]]))</f>
        <v>1135.7416879795394</v>
      </c>
      <c r="V29" s="3">
        <f>MAX(0,Table7[Nm2Eco]*MIN(Table36[ratedRpm]/MAX(1,Table15[[#This Row],[rpm]]),1-(MAX(0,Table15[[#This Row],[rpm]]-Table36[ratedRpm])/Table36[fadeOut])^Table36[fadeOutExp]))</f>
        <v>0</v>
      </c>
      <c r="W29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1209.015345268542</v>
      </c>
      <c r="X29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1209.015345268542</v>
      </c>
      <c r="Y29" s="3">
        <f>ABS(Table15[[#This Row],[motor]]-Table15[[#This Row],[motorEco]])</f>
        <v>0</v>
      </c>
    </row>
    <row r="30" spans="1:25" x14ac:dyDescent="0.25">
      <c r="A30" s="3">
        <v>2350</v>
      </c>
      <c r="B30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30" s="20"/>
      <c r="D30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30" s="20"/>
      <c r="F30" s="3">
        <f>Table36[Factor]*IF(Table15[[#This Row],[manualData]]&gt;0,Table15[[#This Row],[manualData]],Table15[[#This Row],[rawData]])</f>
        <v>0</v>
      </c>
      <c r="G30" s="3">
        <f>Table36[Factor]*IF(Table15[[#This Row],[manDataEco]]&gt;0,Table15[[#This Row],[manDataEco]],Table15[[#This Row],[rawDataEco]])</f>
        <v>0</v>
      </c>
      <c r="H30" s="3">
        <f>1.36*Table15[[#This Row],[rpm]]*Table15[[#This Row],[motor]]/9550</f>
        <v>0</v>
      </c>
      <c r="I30" s="3">
        <f>1.36*Table15[[#This Row],[rpm]]*Table15[[#This Row],[motorEco]]/9550</f>
        <v>0</v>
      </c>
      <c r="J30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30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30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30" s="3">
        <f>(1-(1-Table15[[#This Row],[rpm]]/Table36[idleRpm])^2)*Table7[idleT]</f>
        <v>-3600.181640625</v>
      </c>
      <c r="N30" s="3">
        <f>MAX(0,(1-Table7[f1]*(Table36[maxTRpm1]-Table15[[#This Row],[rpm]])^2)*Table36[maxT])</f>
        <v>1095.7112426035503</v>
      </c>
      <c r="O30" s="3">
        <f>MAX(0,(Table36[linearDown]*(1-Table7[f2]*(Table15[[#This Row],[rpm]]-Table36[maxTRpm]))+(1-Table36[linearDown])*(1-Table7[f3]*(Table15[[#This Row],[rpm]]-Table36[maxTRpm])^2))*Table36[maxT])</f>
        <v>1314.6346749226004</v>
      </c>
      <c r="P30" s="3">
        <f>MAX(0,(Table36[maxPS]-Table7[f4]*(Table15[[#This Row],[rpm]]-Table36[maxPRpm])^2)/1.36*9550/MAX(1,Table15[[#This Row],[rpm]]))</f>
        <v>1092.5277690863577</v>
      </c>
      <c r="Q30" s="3">
        <f>MAX(0,Table7[Nm2]*MIN(Table36[ratedRpm]/MAX(1,Table15[[#This Row],[rpm]]),1-(MAX(0,Table15[[#This Row],[rpm]]-Table36[ratedRpm])/Table36[fadeOut])^Table36[fadeOutExp]))</f>
        <v>0</v>
      </c>
      <c r="R30" s="3">
        <f>(1-(1-Table15[[#This Row],[rpm]]/Table36[idleRpm])^2)*Table7[idleTEco]</f>
        <v>-3600.181640625</v>
      </c>
      <c r="S30" s="3">
        <f>MAX(0,(1-Table7[f1]*(Table36[maxTRpm1]-Table15[[#This Row],[rpm]])^2)*Table36[maxTEco])</f>
        <v>1095.7112426035503</v>
      </c>
      <c r="T30" s="3">
        <f>MAX(0,(Table36[linearDown]*(1-Table7[f2Eco]*(Table15[[#This Row],[rpm]]-Table36[maxTRpm]))+(1-Table36[linearDown])*(1-Table7[f3Eco]*(Table15[[#This Row],[rpm]]-Table36[maxTRpm])^2))*Table36[maxTEco])</f>
        <v>1314.6346749226004</v>
      </c>
      <c r="U30" s="3">
        <f>MAX(0,(Table36[maxPSEco]-Table7[f4Eco]*(Table15[[#This Row],[rpm]]-Table36[maxPRpm])^2)/1.36*9550/MAX(1,Table15[[#This Row],[rpm]]))</f>
        <v>1092.5277690863577</v>
      </c>
      <c r="V30" s="3">
        <f>MAX(0,Table7[Nm2Eco]*MIN(Table36[ratedRpm]/MAX(1,Table15[[#This Row],[rpm]]),1-(MAX(0,Table15[[#This Row],[rpm]]-Table36[ratedRpm])/Table36[fadeOut])^Table36[fadeOutExp]))</f>
        <v>0</v>
      </c>
      <c r="W30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1183.2916145181475</v>
      </c>
      <c r="X30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1183.2916145181475</v>
      </c>
      <c r="Y30" s="3">
        <f>ABS(Table15[[#This Row],[motor]]-Table15[[#This Row],[motorEco]])</f>
        <v>0</v>
      </c>
    </row>
    <row r="31" spans="1:25" x14ac:dyDescent="0.25">
      <c r="A31" s="3">
        <v>2400</v>
      </c>
      <c r="B31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31" s="20"/>
      <c r="D31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31" s="20"/>
      <c r="F31" s="3">
        <f>Table36[Factor]*IF(Table15[[#This Row],[manualData]]&gt;0,Table15[[#This Row],[manualData]],Table15[[#This Row],[rawData]])</f>
        <v>0</v>
      </c>
      <c r="G31" s="3">
        <f>Table36[Factor]*IF(Table15[[#This Row],[manDataEco]]&gt;0,Table15[[#This Row],[manDataEco]],Table15[[#This Row],[rawDataEco]])</f>
        <v>0</v>
      </c>
      <c r="H31" s="3">
        <f>1.36*Table15[[#This Row],[rpm]]*Table15[[#This Row],[motor]]/9550</f>
        <v>0</v>
      </c>
      <c r="I31" s="3">
        <f>1.36*Table15[[#This Row],[rpm]]*Table15[[#This Row],[motorEco]]/9550</f>
        <v>0</v>
      </c>
      <c r="J31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31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31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31" s="3">
        <f>(1-(1-Table15[[#This Row],[rpm]]/Table36[idleRpm])^2)*Table7[idleT]</f>
        <v>-3921.8999999999996</v>
      </c>
      <c r="N31" s="3">
        <f>MAX(0,(1-Table7[f1]*(Table36[maxTRpm1]-Table15[[#This Row],[rpm]])^2)*Table36[maxT])</f>
        <v>1045.2029585798816</v>
      </c>
      <c r="O31" s="3">
        <f>MAX(0,(Table36[linearDown]*(1-Table7[f2]*(Table15[[#This Row],[rpm]]-Table36[maxTRpm]))+(1-Table36[linearDown])*(1-Table7[f3]*(Table15[[#This Row],[rpm]]-Table36[maxTRpm])^2))*Table36[maxT])</f>
        <v>1293.4931009440811</v>
      </c>
      <c r="P31" s="3">
        <f>MAX(0,(Table36[maxPS]-Table7[f4]*(Table15[[#This Row],[rpm]]-Table36[maxPRpm])^2)/1.36*9550/MAX(1,Table15[[#This Row],[rpm]]))</f>
        <v>1048.9200367647059</v>
      </c>
      <c r="Q31" s="3">
        <f>MAX(0,Table7[Nm2]*MIN(Table36[ratedRpm]/MAX(1,Table15[[#This Row],[rpm]]),1-(MAX(0,Table15[[#This Row],[rpm]]-Table36[ratedRpm])/Table36[fadeOut])^Table36[fadeOutExp]))</f>
        <v>0</v>
      </c>
      <c r="R31" s="3">
        <f>(1-(1-Table15[[#This Row],[rpm]]/Table36[idleRpm])^2)*Table7[idleTEco]</f>
        <v>-3921.8999999999996</v>
      </c>
      <c r="S31" s="3">
        <f>MAX(0,(1-Table7[f1]*(Table36[maxTRpm1]-Table15[[#This Row],[rpm]])^2)*Table36[maxTEco])</f>
        <v>1045.2029585798816</v>
      </c>
      <c r="T31" s="3">
        <f>MAX(0,(Table36[linearDown]*(1-Table7[f2Eco]*(Table15[[#This Row],[rpm]]-Table36[maxTRpm]))+(1-Table36[linearDown])*(1-Table7[f3Eco]*(Table15[[#This Row],[rpm]]-Table36[maxTRpm])^2))*Table36[maxTEco])</f>
        <v>1293.4931009440811</v>
      </c>
      <c r="U31" s="3">
        <f>MAX(0,(Table36[maxPSEco]-Table7[f4Eco]*(Table15[[#This Row],[rpm]]-Table36[maxPRpm])^2)/1.36*9550/MAX(1,Table15[[#This Row],[rpm]]))</f>
        <v>1048.9200367647059</v>
      </c>
      <c r="V31" s="3">
        <f>MAX(0,Table7[Nm2Eco]*MIN(Table36[ratedRpm]/MAX(1,Table15[[#This Row],[rpm]]),1-(MAX(0,Table15[[#This Row],[rpm]]-Table36[ratedRpm])/Table36[fadeOut])^Table36[fadeOutExp]))</f>
        <v>0</v>
      </c>
      <c r="W31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1158.6397058823529</v>
      </c>
      <c r="X31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1158.6397058823529</v>
      </c>
      <c r="Y31" s="3">
        <f>ABS(Table15[[#This Row],[motor]]-Table15[[#This Row],[motorEco]])</f>
        <v>0</v>
      </c>
    </row>
    <row r="32" spans="1:25" x14ac:dyDescent="0.25">
      <c r="A32" s="3">
        <v>2450</v>
      </c>
      <c r="B32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32" s="20"/>
      <c r="D32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32" s="20"/>
      <c r="F32" s="3">
        <f>Table36[Factor]*IF(Table15[[#This Row],[manualData]]&gt;0,Table15[[#This Row],[manualData]],Table15[[#This Row],[rawData]])</f>
        <v>0</v>
      </c>
      <c r="G32" s="3">
        <f>Table36[Factor]*IF(Table15[[#This Row],[manDataEco]]&gt;0,Table15[[#This Row],[manDataEco]],Table15[[#This Row],[rawDataEco]])</f>
        <v>0</v>
      </c>
      <c r="H32" s="3">
        <f>1.36*Table15[[#This Row],[rpm]]*Table15[[#This Row],[motor]]/9550</f>
        <v>0</v>
      </c>
      <c r="I32" s="3">
        <f>1.36*Table15[[#This Row],[rpm]]*Table15[[#This Row],[motorEco]]/9550</f>
        <v>0</v>
      </c>
      <c r="J32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32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32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32" s="3">
        <f>(1-(1-Table15[[#This Row],[rpm]]/Table36[idleRpm])^2)*Table7[idleT]</f>
        <v>-4253.8316406249996</v>
      </c>
      <c r="N32" s="3">
        <f>MAX(0,(1-Table7[f1]*(Table36[maxTRpm1]-Table15[[#This Row],[rpm]])^2)*Table36[maxT])</f>
        <v>991.96449704142003</v>
      </c>
      <c r="O32" s="3">
        <f>MAX(0,(Table36[linearDown]*(1-Table7[f2]*(Table15[[#This Row],[rpm]]-Table36[maxTRpm]))+(1-Table36[linearDown])*(1-Table7[f3]*(Table15[[#This Row],[rpm]]-Table36[maxTRpm])^2))*Table36[maxT])</f>
        <v>1271.4323280969306</v>
      </c>
      <c r="P32" s="3">
        <f>MAX(0,(Table36[maxPS]-Table7[f4]*(Table15[[#This Row],[rpm]]-Table36[maxPRpm])^2)/1.36*9550/MAX(1,Table15[[#This Row],[rpm]]))</f>
        <v>1004.9426020408164</v>
      </c>
      <c r="Q32" s="3">
        <f>MAX(0,Table7[Nm2]*MIN(Table36[ratedRpm]/MAX(1,Table15[[#This Row],[rpm]]),1-(MAX(0,Table15[[#This Row],[rpm]]-Table36[ratedRpm])/Table36[fadeOut])^Table36[fadeOutExp]))</f>
        <v>0</v>
      </c>
      <c r="R32" s="3">
        <f>(1-(1-Table15[[#This Row],[rpm]]/Table36[idleRpm])^2)*Table7[idleTEco]</f>
        <v>-4253.8316406249996</v>
      </c>
      <c r="S32" s="3">
        <f>MAX(0,(1-Table7[f1]*(Table36[maxTRpm1]-Table15[[#This Row],[rpm]])^2)*Table36[maxTEco])</f>
        <v>991.96449704142003</v>
      </c>
      <c r="T32" s="3">
        <f>MAX(0,(Table36[linearDown]*(1-Table7[f2Eco]*(Table15[[#This Row],[rpm]]-Table36[maxTRpm]))+(1-Table36[linearDown])*(1-Table7[f3Eco]*(Table15[[#This Row],[rpm]]-Table36[maxTRpm])^2))*Table36[maxTEco])</f>
        <v>1271.4323280969306</v>
      </c>
      <c r="U32" s="3">
        <f>MAX(0,(Table36[maxPSEco]-Table7[f4Eco]*(Table15[[#This Row],[rpm]]-Table36[maxPRpm])^2)/1.36*9550/MAX(1,Table15[[#This Row],[rpm]]))</f>
        <v>1004.9426020408164</v>
      </c>
      <c r="V32" s="3">
        <f>MAX(0,Table7[Nm2Eco]*MIN(Table36[ratedRpm]/MAX(1,Table15[[#This Row],[rpm]]),1-(MAX(0,Table15[[#This Row],[rpm]]-Table36[ratedRpm])/Table36[fadeOut])^Table36[fadeOutExp]))</f>
        <v>0</v>
      </c>
      <c r="W32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1134.9939975990394</v>
      </c>
      <c r="X32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1134.9939975990394</v>
      </c>
      <c r="Y32" s="3">
        <f>ABS(Table15[[#This Row],[motor]]-Table15[[#This Row],[motorEco]])</f>
        <v>0</v>
      </c>
    </row>
    <row r="33" spans="1:25" x14ac:dyDescent="0.25">
      <c r="A33" s="3">
        <v>2500</v>
      </c>
      <c r="B33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33" s="20"/>
      <c r="D33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33" s="20"/>
      <c r="F33" s="3">
        <f>Table36[Factor]*IF(Table15[[#This Row],[manualData]]&gt;0,Table15[[#This Row],[manualData]],Table15[[#This Row],[rawData]])</f>
        <v>0</v>
      </c>
      <c r="G33" s="3">
        <f>Table36[Factor]*IF(Table15[[#This Row],[manDataEco]]&gt;0,Table15[[#This Row],[manDataEco]],Table15[[#This Row],[rawDataEco]])</f>
        <v>0</v>
      </c>
      <c r="H33" s="3">
        <f>1.36*Table15[[#This Row],[rpm]]*Table15[[#This Row],[motor]]/9550</f>
        <v>0</v>
      </c>
      <c r="I33" s="3">
        <f>1.36*Table15[[#This Row],[rpm]]*Table15[[#This Row],[motorEco]]/9550</f>
        <v>0</v>
      </c>
      <c r="J33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33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33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33" s="3">
        <f>(1-(1-Table15[[#This Row],[rpm]]/Table36[idleRpm])^2)*Table7[idleT]</f>
        <v>-4595.9765625</v>
      </c>
      <c r="N33" s="3">
        <f>MAX(0,(1-Table7[f1]*(Table36[maxTRpm1]-Table15[[#This Row],[rpm]])^2)*Table36[maxT])</f>
        <v>935.99585798816554</v>
      </c>
      <c r="O33" s="3">
        <f>MAX(0,(Table36[linearDown]*(1-Table7[f2]*(Table15[[#This Row],[rpm]]-Table36[maxTRpm]))+(1-Table36[linearDown])*(1-Table7[f3]*(Table15[[#This Row],[rpm]]-Table36[maxTRpm])^2))*Table36[maxT])</f>
        <v>1248.4523563811488</v>
      </c>
      <c r="P33" s="3">
        <f>MAX(0,(Table36[maxPS]-Table7[f4]*(Table15[[#This Row],[rpm]]-Table36[maxPRpm])^2)/1.36*9550/MAX(1,Table15[[#This Row],[rpm]]))</f>
        <v>960.61764705882331</v>
      </c>
      <c r="Q33" s="3">
        <f>MAX(0,Table7[Nm2]*MIN(Table36[ratedRpm]/MAX(1,Table15[[#This Row],[rpm]]),1-(MAX(0,Table15[[#This Row],[rpm]]-Table36[ratedRpm])/Table36[fadeOut])^Table36[fadeOutExp]))</f>
        <v>0</v>
      </c>
      <c r="R33" s="3">
        <f>(1-(1-Table15[[#This Row],[rpm]]/Table36[idleRpm])^2)*Table7[idleTEco]</f>
        <v>-4595.9765625</v>
      </c>
      <c r="S33" s="3">
        <f>MAX(0,(1-Table7[f1]*(Table36[maxTRpm1]-Table15[[#This Row],[rpm]])^2)*Table36[maxTEco])</f>
        <v>935.99585798816554</v>
      </c>
      <c r="T33" s="3">
        <f>MAX(0,(Table36[linearDown]*(1-Table7[f2Eco]*(Table15[[#This Row],[rpm]]-Table36[maxTRpm]))+(1-Table36[linearDown])*(1-Table7[f3Eco]*(Table15[[#This Row],[rpm]]-Table36[maxTRpm])^2))*Table36[maxTEco])</f>
        <v>1248.4523563811488</v>
      </c>
      <c r="U33" s="3">
        <f>MAX(0,(Table36[maxPSEco]-Table7[f4Eco]*(Table15[[#This Row],[rpm]]-Table36[maxPRpm])^2)/1.36*9550/MAX(1,Table15[[#This Row],[rpm]]))</f>
        <v>960.61764705882331</v>
      </c>
      <c r="V33" s="3">
        <f>MAX(0,Table7[Nm2Eco]*MIN(Table36[ratedRpm]/MAX(1,Table15[[#This Row],[rpm]]),1-(MAX(0,Table15[[#This Row],[rpm]]-Table36[ratedRpm])/Table36[fadeOut])^Table36[fadeOutExp]))</f>
        <v>0</v>
      </c>
      <c r="W33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1112.2941176470588</v>
      </c>
      <c r="X33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1112.2941176470588</v>
      </c>
      <c r="Y33" s="3">
        <f>ABS(Table15[[#This Row],[motor]]-Table15[[#This Row],[motorEco]])</f>
        <v>0</v>
      </c>
    </row>
    <row r="34" spans="1:25" x14ac:dyDescent="0.25">
      <c r="A34" s="3">
        <v>2550</v>
      </c>
      <c r="B34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34" s="20"/>
      <c r="D34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34" s="20"/>
      <c r="F34" s="3">
        <f>Table36[Factor]*IF(Table15[[#This Row],[manualData]]&gt;0,Table15[[#This Row],[manualData]],Table15[[#This Row],[rawData]])</f>
        <v>0</v>
      </c>
      <c r="G34" s="3">
        <f>Table36[Factor]*IF(Table15[[#This Row],[manDataEco]]&gt;0,Table15[[#This Row],[manDataEco]],Table15[[#This Row],[rawDataEco]])</f>
        <v>0</v>
      </c>
      <c r="H34" s="3">
        <f>1.36*Table15[[#This Row],[rpm]]*Table15[[#This Row],[motor]]/9550</f>
        <v>0</v>
      </c>
      <c r="I34" s="3">
        <f>1.36*Table15[[#This Row],[rpm]]*Table15[[#This Row],[motorEco]]/9550</f>
        <v>0</v>
      </c>
      <c r="J34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34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34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34" s="3">
        <f>(1-(1-Table15[[#This Row],[rpm]]/Table36[idleRpm])^2)*Table7[idleT]</f>
        <v>-4948.3347656249998</v>
      </c>
      <c r="N34" s="3">
        <f>MAX(0,(1-Table7[f1]*(Table36[maxTRpm1]-Table15[[#This Row],[rpm]])^2)*Table36[maxT])</f>
        <v>877.29704142011826</v>
      </c>
      <c r="O34" s="3">
        <f>MAX(0,(Table36[linearDown]*(1-Table7[f2]*(Table15[[#This Row],[rpm]]-Table36[maxTRpm]))+(1-Table36[linearDown])*(1-Table7[f3]*(Table15[[#This Row],[rpm]]-Table36[maxTRpm])^2))*Table36[maxT])</f>
        <v>1224.5531857967355</v>
      </c>
      <c r="P34" s="3">
        <f>MAX(0,(Table36[maxPS]-Table7[f4]*(Table15[[#This Row],[rpm]]-Table36[maxPRpm])^2)/1.36*9550/MAX(1,Table15[[#This Row],[rpm]]))</f>
        <v>915.9656141868511</v>
      </c>
      <c r="Q34" s="3">
        <f>MAX(0,Table7[Nm2]*MIN(Table36[ratedRpm]/MAX(1,Table15[[#This Row],[rpm]]),1-(MAX(0,Table15[[#This Row],[rpm]]-Table36[ratedRpm])/Table36[fadeOut])^Table36[fadeOutExp]))</f>
        <v>0</v>
      </c>
      <c r="R34" s="3">
        <f>(1-(1-Table15[[#This Row],[rpm]]/Table36[idleRpm])^2)*Table7[idleTEco]</f>
        <v>-4948.3347656249998</v>
      </c>
      <c r="S34" s="3">
        <f>MAX(0,(1-Table7[f1]*(Table36[maxTRpm1]-Table15[[#This Row],[rpm]])^2)*Table36[maxTEco])</f>
        <v>877.29704142011826</v>
      </c>
      <c r="T34" s="3">
        <f>MAX(0,(Table36[linearDown]*(1-Table7[f2Eco]*(Table15[[#This Row],[rpm]]-Table36[maxTRpm]))+(1-Table36[linearDown])*(1-Table7[f3Eco]*(Table15[[#This Row],[rpm]]-Table36[maxTRpm])^2))*Table36[maxTEco])</f>
        <v>1224.5531857967355</v>
      </c>
      <c r="U34" s="3">
        <f>MAX(0,(Table36[maxPSEco]-Table7[f4Eco]*(Table15[[#This Row],[rpm]]-Table36[maxPRpm])^2)/1.36*9550/MAX(1,Table15[[#This Row],[rpm]]))</f>
        <v>915.9656141868511</v>
      </c>
      <c r="V34" s="3">
        <f>MAX(0,Table7[Nm2Eco]*MIN(Table36[ratedRpm]/MAX(1,Table15[[#This Row],[rpm]]),1-(MAX(0,Table15[[#This Row],[rpm]]-Table36[ratedRpm])/Table36[fadeOut])^Table36[fadeOutExp]))</f>
        <v>0</v>
      </c>
      <c r="W34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1090.4844290657438</v>
      </c>
      <c r="X34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1090.4844290657438</v>
      </c>
      <c r="Y34" s="3">
        <f>ABS(Table15[[#This Row],[motor]]-Table15[[#This Row],[motorEco]])</f>
        <v>0</v>
      </c>
    </row>
    <row r="35" spans="1:25" x14ac:dyDescent="0.25">
      <c r="A35" s="3">
        <v>2600</v>
      </c>
      <c r="B35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35" s="20"/>
      <c r="D35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35" s="20"/>
      <c r="F35" s="3">
        <f>Table36[Factor]*IF(Table15[[#This Row],[manualData]]&gt;0,Table15[[#This Row],[manualData]],Table15[[#This Row],[rawData]])</f>
        <v>0</v>
      </c>
      <c r="G35" s="3">
        <f>Table36[Factor]*IF(Table15[[#This Row],[manDataEco]]&gt;0,Table15[[#This Row],[manDataEco]],Table15[[#This Row],[rawDataEco]])</f>
        <v>0</v>
      </c>
      <c r="H35" s="3">
        <f>1.36*Table15[[#This Row],[rpm]]*Table15[[#This Row],[motor]]/9550</f>
        <v>0</v>
      </c>
      <c r="I35" s="3">
        <f>1.36*Table15[[#This Row],[rpm]]*Table15[[#This Row],[motorEco]]/9550</f>
        <v>0</v>
      </c>
      <c r="J35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35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35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35" s="3">
        <f>(1-(1-Table15[[#This Row],[rpm]]/Table36[idleRpm])^2)*Table7[idleT]</f>
        <v>-5310.90625</v>
      </c>
      <c r="N35" s="3">
        <f>MAX(0,(1-Table7[f1]*(Table36[maxTRpm1]-Table15[[#This Row],[rpm]])^2)*Table36[maxT])</f>
        <v>815.86804733727809</v>
      </c>
      <c r="O35" s="3">
        <f>MAX(0,(Table36[linearDown]*(1-Table7[f2]*(Table15[[#This Row],[rpm]]-Table36[maxTRpm]))+(1-Table36[linearDown])*(1-Table7[f3]*(Table15[[#This Row],[rpm]]-Table36[maxTRpm])^2))*Table36[maxT])</f>
        <v>1199.7348163436911</v>
      </c>
      <c r="P35" s="3">
        <f>MAX(0,(Table36[maxPS]-Table7[f4]*(Table15[[#This Row],[rpm]]-Table36[maxPRpm])^2)/1.36*9550/MAX(1,Table15[[#This Row],[rpm]]))</f>
        <v>871.0053733031674</v>
      </c>
      <c r="Q35" s="3">
        <f>MAX(0,Table7[Nm2]*MIN(Table36[ratedRpm]/MAX(1,Table15[[#This Row],[rpm]]),1-(MAX(0,Table15[[#This Row],[rpm]]-Table36[ratedRpm])/Table36[fadeOut])^Table36[fadeOutExp]))</f>
        <v>0</v>
      </c>
      <c r="R35" s="3">
        <f>(1-(1-Table15[[#This Row],[rpm]]/Table36[idleRpm])^2)*Table7[idleTEco]</f>
        <v>-5310.90625</v>
      </c>
      <c r="S35" s="3">
        <f>MAX(0,(1-Table7[f1]*(Table36[maxTRpm1]-Table15[[#This Row],[rpm]])^2)*Table36[maxTEco])</f>
        <v>815.86804733727809</v>
      </c>
      <c r="T35" s="3">
        <f>MAX(0,(Table36[linearDown]*(1-Table7[f2Eco]*(Table15[[#This Row],[rpm]]-Table36[maxTRpm]))+(1-Table36[linearDown])*(1-Table7[f3Eco]*(Table15[[#This Row],[rpm]]-Table36[maxTRpm])^2))*Table36[maxTEco])</f>
        <v>1199.7348163436911</v>
      </c>
      <c r="U35" s="3">
        <f>MAX(0,(Table36[maxPSEco]-Table7[f4Eco]*(Table15[[#This Row],[rpm]]-Table36[maxPRpm])^2)/1.36*9550/MAX(1,Table15[[#This Row],[rpm]]))</f>
        <v>871.0053733031674</v>
      </c>
      <c r="V35" s="3">
        <f>MAX(0,Table7[Nm2Eco]*MIN(Table36[ratedRpm]/MAX(1,Table15[[#This Row],[rpm]]),1-(MAX(0,Table15[[#This Row],[rpm]]-Table36[ratedRpm])/Table36[fadeOut])^Table36[fadeOutExp]))</f>
        <v>0</v>
      </c>
      <c r="W35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1069.5135746606334</v>
      </c>
      <c r="X35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1069.5135746606334</v>
      </c>
      <c r="Y35" s="3">
        <f>ABS(Table15[[#This Row],[motor]]-Table15[[#This Row],[motorEco]])</f>
        <v>0</v>
      </c>
    </row>
    <row r="36" spans="1:25" x14ac:dyDescent="0.25">
      <c r="A36" s="3">
        <v>2650</v>
      </c>
      <c r="B36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36" s="20"/>
      <c r="D36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36" s="20"/>
      <c r="F36" s="3">
        <f>Table36[Factor]*IF(Table15[[#This Row],[manualData]]&gt;0,Table15[[#This Row],[manualData]],Table15[[#This Row],[rawData]])</f>
        <v>0</v>
      </c>
      <c r="G36" s="3">
        <f>Table36[Factor]*IF(Table15[[#This Row],[manDataEco]]&gt;0,Table15[[#This Row],[manDataEco]],Table15[[#This Row],[rawDataEco]])</f>
        <v>0</v>
      </c>
      <c r="H36" s="3">
        <f>1.36*Table15[[#This Row],[rpm]]*Table15[[#This Row],[motor]]/9550</f>
        <v>0</v>
      </c>
      <c r="I36" s="3">
        <f>1.36*Table15[[#This Row],[rpm]]*Table15[[#This Row],[motorEco]]/9550</f>
        <v>0</v>
      </c>
      <c r="J36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36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36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36" s="3">
        <f>(1-(1-Table15[[#This Row],[rpm]]/Table36[idleRpm])^2)*Table7[idleT]</f>
        <v>-5683.6910156249996</v>
      </c>
      <c r="N36" s="3">
        <f>MAX(0,(1-Table7[f1]*(Table36[maxTRpm1]-Table15[[#This Row],[rpm]])^2)*Table36[maxT])</f>
        <v>751.7088757396449</v>
      </c>
      <c r="O36" s="3">
        <f>MAX(0,(Table36[linearDown]*(1-Table7[f2]*(Table15[[#This Row],[rpm]]-Table36[maxTRpm]))+(1-Table36[linearDown])*(1-Table7[f3]*(Table15[[#This Row],[rpm]]-Table36[maxTRpm])^2))*Table36[maxT])</f>
        <v>1173.9972480220156</v>
      </c>
      <c r="P36" s="3">
        <f>MAX(0,(Table36[maxPS]-Table7[f4]*(Table15[[#This Row],[rpm]]-Table36[maxPRpm])^2)/1.36*9550/MAX(1,Table15[[#This Row],[rpm]]))</f>
        <v>825.75437014428405</v>
      </c>
      <c r="Q36" s="3">
        <f>MAX(0,Table7[Nm2]*MIN(Table36[ratedRpm]/MAX(1,Table15[[#This Row],[rpm]]),1-(MAX(0,Table15[[#This Row],[rpm]]-Table36[ratedRpm])/Table36[fadeOut])^Table36[fadeOutExp]))</f>
        <v>0</v>
      </c>
      <c r="R36" s="3">
        <f>(1-(1-Table15[[#This Row],[rpm]]/Table36[idleRpm])^2)*Table7[idleTEco]</f>
        <v>-5683.6910156249996</v>
      </c>
      <c r="S36" s="3">
        <f>MAX(0,(1-Table7[f1]*(Table36[maxTRpm1]-Table15[[#This Row],[rpm]])^2)*Table36[maxTEco])</f>
        <v>751.7088757396449</v>
      </c>
      <c r="T36" s="3">
        <f>MAX(0,(Table36[linearDown]*(1-Table7[f2Eco]*(Table15[[#This Row],[rpm]]-Table36[maxTRpm]))+(1-Table36[linearDown])*(1-Table7[f3Eco]*(Table15[[#This Row],[rpm]]-Table36[maxTRpm])^2))*Table36[maxTEco])</f>
        <v>1173.9972480220156</v>
      </c>
      <c r="U36" s="3">
        <f>MAX(0,(Table36[maxPSEco]-Table7[f4Eco]*(Table15[[#This Row],[rpm]]-Table36[maxPRpm])^2)/1.36*9550/MAX(1,Table15[[#This Row],[rpm]]))</f>
        <v>825.75437014428405</v>
      </c>
      <c r="V36" s="3">
        <f>MAX(0,Table7[Nm2Eco]*MIN(Table36[ratedRpm]/MAX(1,Table15[[#This Row],[rpm]]),1-(MAX(0,Table15[[#This Row],[rpm]]-Table36[ratedRpm])/Table36[fadeOut])^Table36[fadeOutExp]))</f>
        <v>0</v>
      </c>
      <c r="W36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1049.3340732519421</v>
      </c>
      <c r="X36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1049.3340732519421</v>
      </c>
      <c r="Y36" s="3">
        <f>ABS(Table15[[#This Row],[motor]]-Table15[[#This Row],[motorEco]])</f>
        <v>0</v>
      </c>
    </row>
    <row r="37" spans="1:25" x14ac:dyDescent="0.25">
      <c r="A37" s="3">
        <v>2750</v>
      </c>
      <c r="B37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37" s="20"/>
      <c r="D37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37" s="20"/>
      <c r="F37" s="3">
        <f>Table36[Factor]*IF(Table15[[#This Row],[manualData]]&gt;0,Table15[[#This Row],[manualData]],Table15[[#This Row],[rawData]])</f>
        <v>0</v>
      </c>
      <c r="G37" s="3">
        <f>Table36[Factor]*IF(Table15[[#This Row],[manDataEco]]&gt;0,Table15[[#This Row],[manDataEco]],Table15[[#This Row],[rawDataEco]])</f>
        <v>0</v>
      </c>
      <c r="H37" s="3">
        <f>1.36*Table15[[#This Row],[rpm]]*Table15[[#This Row],[motor]]/9550</f>
        <v>0</v>
      </c>
      <c r="I37" s="3">
        <f>1.36*Table15[[#This Row],[rpm]]*Table15[[#This Row],[motorEco]]/9550</f>
        <v>0</v>
      </c>
      <c r="J37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37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37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37" s="3">
        <f>(1-(1-Table15[[#This Row],[rpm]]/Table36[idleRpm])^2)*Table7[idleT]</f>
        <v>-6459.900390625</v>
      </c>
      <c r="N37" s="3">
        <f>MAX(0,(1-Table7[f1]*(Table36[maxTRpm1]-Table15[[#This Row],[rpm]])^2)*Table36[maxT])</f>
        <v>615.19999999999982</v>
      </c>
      <c r="O37" s="3">
        <f>MAX(0,(Table36[linearDown]*(1-Table7[f2]*(Table15[[#This Row],[rpm]]-Table36[maxTRpm]))+(1-Table36[linearDown])*(1-Table7[f3]*(Table15[[#This Row],[rpm]]-Table36[maxTRpm])^2))*Table36[maxT])</f>
        <v>1119.7645147727703</v>
      </c>
      <c r="P37" s="3">
        <f>MAX(0,(Table36[maxPS]-Table7[f4]*(Table15[[#This Row],[rpm]]-Table36[maxPRpm])^2)/1.36*9550/MAX(1,Table15[[#This Row],[rpm]]))</f>
        <v>734.44351604278074</v>
      </c>
      <c r="Q37" s="3">
        <f>MAX(0,Table7[Nm2]*MIN(Table36[ratedRpm]/MAX(1,Table15[[#This Row],[rpm]]),1-(MAX(0,Table15[[#This Row],[rpm]]-Table36[ratedRpm])/Table36[fadeOut])^Table36[fadeOutExp]))</f>
        <v>0</v>
      </c>
      <c r="R37" s="3">
        <f>(1-(1-Table15[[#This Row],[rpm]]/Table36[idleRpm])^2)*Table7[idleTEco]</f>
        <v>-6459.900390625</v>
      </c>
      <c r="S37" s="3">
        <f>MAX(0,(1-Table7[f1]*(Table36[maxTRpm1]-Table15[[#This Row],[rpm]])^2)*Table36[maxTEco])</f>
        <v>615.19999999999982</v>
      </c>
      <c r="T37" s="3">
        <f>MAX(0,(Table36[linearDown]*(1-Table7[f2Eco]*(Table15[[#This Row],[rpm]]-Table36[maxTRpm]))+(1-Table36[linearDown])*(1-Table7[f3Eco]*(Table15[[#This Row],[rpm]]-Table36[maxTRpm])^2))*Table36[maxTEco])</f>
        <v>1119.7645147727703</v>
      </c>
      <c r="U37" s="3">
        <f>MAX(0,(Table36[maxPSEco]-Table7[f4Eco]*(Table15[[#This Row],[rpm]]-Table36[maxPRpm])^2)/1.36*9550/MAX(1,Table15[[#This Row],[rpm]]))</f>
        <v>734.44351604278074</v>
      </c>
      <c r="V37" s="3">
        <f>MAX(0,Table7[Nm2Eco]*MIN(Table36[ratedRpm]/MAX(1,Table15[[#This Row],[rpm]]),1-(MAX(0,Table15[[#This Row],[rpm]]-Table36[ratedRpm])/Table36[fadeOut])^Table36[fadeOutExp]))</f>
        <v>0</v>
      </c>
      <c r="W37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1011.1764705882351</v>
      </c>
      <c r="X37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1011.1764705882351</v>
      </c>
      <c r="Y37" s="3">
        <f>ABS(Table15[[#This Row],[motor]]-Table15[[#This Row],[motorEco]])</f>
        <v>0</v>
      </c>
    </row>
    <row r="38" spans="1:25" x14ac:dyDescent="0.25">
      <c r="A38" s="3">
        <v>3000</v>
      </c>
      <c r="B38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38" s="20"/>
      <c r="D38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38" s="20"/>
      <c r="F38" s="3">
        <f>Table36[Factor]*IF(Table15[[#This Row],[manualData]]&gt;0,Table15[[#This Row],[manualData]],Table15[[#This Row],[rawData]])</f>
        <v>0</v>
      </c>
      <c r="G38" s="3">
        <f>Table36[Factor]*IF(Table15[[#This Row],[manDataEco]]&gt;0,Table15[[#This Row],[manDataEco]],Table15[[#This Row],[rawDataEco]])</f>
        <v>0</v>
      </c>
      <c r="H38" s="3">
        <f>1.36*Table15[[#This Row],[rpm]]*Table15[[#This Row],[motor]]/9550</f>
        <v>0</v>
      </c>
      <c r="I38" s="3">
        <f>1.36*Table15[[#This Row],[rpm]]*Table15[[#This Row],[motorEco]]/9550</f>
        <v>0</v>
      </c>
      <c r="J38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38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38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38" s="3">
        <f>(1-(1-Table15[[#This Row],[rpm]]/Table36[idleRpm])^2)*Table7[idleT]</f>
        <v>-8579.15625</v>
      </c>
      <c r="N38" s="3">
        <f>MAX(0,(1-Table7[f1]*(Table36[maxTRpm1]-Table15[[#This Row],[rpm]])^2)*Table36[maxT])</f>
        <v>226.14970414201167</v>
      </c>
      <c r="O38" s="3">
        <f>MAX(0,(Table36[linearDown]*(1-Table7[f2]*(Table15[[#This Row],[rpm]]-Table36[maxTRpm]))+(1-Table36[linearDown])*(1-Table7[f3]*(Table15[[#This Row],[rpm]]-Table36[maxTRpm])^2))*Table36[maxT])</f>
        <v>968.09670144861025</v>
      </c>
      <c r="P38" s="3">
        <f>MAX(0,(Table36[maxPS]-Table7[f4]*(Table15[[#This Row],[rpm]]-Table36[maxPRpm])^2)/1.36*9550/MAX(1,Table15[[#This Row],[rpm]]))</f>
        <v>502.07720588235293</v>
      </c>
      <c r="Q38" s="3">
        <f>MAX(0,Table7[Nm2]*MIN(Table36[ratedRpm]/MAX(1,Table15[[#This Row],[rpm]]),1-(MAX(0,Table15[[#This Row],[rpm]]-Table36[ratedRpm])/Table36[fadeOut])^Table36[fadeOutExp]))</f>
        <v>0</v>
      </c>
      <c r="R38" s="3">
        <f>(1-(1-Table15[[#This Row],[rpm]]/Table36[idleRpm])^2)*Table7[idleTEco]</f>
        <v>-8579.15625</v>
      </c>
      <c r="S38" s="3">
        <f>MAX(0,(1-Table7[f1]*(Table36[maxTRpm1]-Table15[[#This Row],[rpm]])^2)*Table36[maxTEco])</f>
        <v>226.14970414201167</v>
      </c>
      <c r="T38" s="3">
        <f>MAX(0,(Table36[linearDown]*(1-Table7[f2Eco]*(Table15[[#This Row],[rpm]]-Table36[maxTRpm]))+(1-Table36[linearDown])*(1-Table7[f3Eco]*(Table15[[#This Row],[rpm]]-Table36[maxTRpm])^2))*Table36[maxTEco])</f>
        <v>968.09670144861025</v>
      </c>
      <c r="U38" s="3">
        <f>MAX(0,(Table36[maxPSEco]-Table7[f4Eco]*(Table15[[#This Row],[rpm]]-Table36[maxPRpm])^2)/1.36*9550/MAX(1,Table15[[#This Row],[rpm]]))</f>
        <v>502.07720588235293</v>
      </c>
      <c r="V38" s="3">
        <f>MAX(0,Table7[Nm2Eco]*MIN(Table36[ratedRpm]/MAX(1,Table15[[#This Row],[rpm]]),1-(MAX(0,Table15[[#This Row],[rpm]]-Table36[ratedRpm])/Table36[fadeOut])^Table36[fadeOutExp]))</f>
        <v>0</v>
      </c>
      <c r="W38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926.91176470588221</v>
      </c>
      <c r="X38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926.91176470588221</v>
      </c>
      <c r="Y38" s="3">
        <f>ABS(Table15[[#This Row],[motor]]-Table15[[#This Row],[motorEco]])</f>
        <v>0</v>
      </c>
    </row>
    <row r="39" spans="1:25" x14ac:dyDescent="0.25">
      <c r="A39" s="3">
        <v>3250</v>
      </c>
      <c r="B39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39" s="20"/>
      <c r="D39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39" s="20"/>
      <c r="F39" s="3">
        <f>Table36[Factor]*IF(Table15[[#This Row],[manualData]]&gt;0,Table15[[#This Row],[manualData]],Table15[[#This Row],[rawData]])</f>
        <v>0</v>
      </c>
      <c r="G39" s="3">
        <f>Table36[Factor]*IF(Table15[[#This Row],[manDataEco]]&gt;0,Table15[[#This Row],[manDataEco]],Table15[[#This Row],[rawDataEco]])</f>
        <v>0</v>
      </c>
      <c r="H39" s="3">
        <f>1.36*Table15[[#This Row],[rpm]]*Table15[[#This Row],[motor]]/9550</f>
        <v>0</v>
      </c>
      <c r="I39" s="3">
        <f>1.36*Table15[[#This Row],[rpm]]*Table15[[#This Row],[motorEco]]/9550</f>
        <v>0</v>
      </c>
      <c r="J39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39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39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39" s="3">
        <f>(1-(1-Table15[[#This Row],[rpm]]/Table36[idleRpm])^2)*Table7[idleT]</f>
        <v>-10953.744140625</v>
      </c>
      <c r="N39" s="3">
        <f>MAX(0,(1-Table7[f1]*(Table36[maxTRpm1]-Table15[[#This Row],[rpm]])^2)*Table36[maxT])</f>
        <v>0</v>
      </c>
      <c r="O39" s="3">
        <f>MAX(0,(Table36[linearDown]*(1-Table7[f2]*(Table15[[#This Row],[rpm]]-Table36[maxTRpm]))+(1-Table36[linearDown])*(1-Table7[f3]*(Table15[[#This Row],[rpm]]-Table36[maxTRpm])^2))*Table36[maxT])</f>
        <v>793.44891640866786</v>
      </c>
      <c r="P39" s="3">
        <f>MAX(0,(Table36[maxPS]-Table7[f4]*(Table15[[#This Row],[rpm]]-Table36[maxPRpm])^2)/1.36*9550/MAX(1,Table15[[#This Row],[rpm]]))</f>
        <v>264.94768099547508</v>
      </c>
      <c r="Q39" s="3">
        <f>MAX(0,Table7[Nm2]*MIN(Table36[ratedRpm]/MAX(1,Table15[[#This Row],[rpm]]),1-(MAX(0,Table15[[#This Row],[rpm]]-Table36[ratedRpm])/Table36[fadeOut])^Table36[fadeOutExp]))</f>
        <v>0</v>
      </c>
      <c r="R39" s="3">
        <f>(1-(1-Table15[[#This Row],[rpm]]/Table36[idleRpm])^2)*Table7[idleTEco]</f>
        <v>-10953.744140625</v>
      </c>
      <c r="S39" s="3">
        <f>MAX(0,(1-Table7[f1]*(Table36[maxTRpm1]-Table15[[#This Row],[rpm]])^2)*Table36[maxTEco])</f>
        <v>0</v>
      </c>
      <c r="T39" s="3">
        <f>MAX(0,(Table36[linearDown]*(1-Table7[f2Eco]*(Table15[[#This Row],[rpm]]-Table36[maxTRpm]))+(1-Table36[linearDown])*(1-Table7[f3Eco]*(Table15[[#This Row],[rpm]]-Table36[maxTRpm])^2))*Table36[maxTEco])</f>
        <v>793.44891640866786</v>
      </c>
      <c r="U39" s="3">
        <f>MAX(0,(Table36[maxPSEco]-Table7[f4Eco]*(Table15[[#This Row],[rpm]]-Table36[maxPRpm])^2)/1.36*9550/MAX(1,Table15[[#This Row],[rpm]]))</f>
        <v>264.94768099547508</v>
      </c>
      <c r="V39" s="3">
        <f>MAX(0,Table7[Nm2Eco]*MIN(Table36[ratedRpm]/MAX(1,Table15[[#This Row],[rpm]]),1-(MAX(0,Table15[[#This Row],[rpm]]-Table36[ratedRpm])/Table36[fadeOut])^Table36[fadeOutExp]))</f>
        <v>0</v>
      </c>
      <c r="W39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855.61085972850674</v>
      </c>
      <c r="X39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855.61085972850674</v>
      </c>
      <c r="Y39" s="3">
        <f>ABS(Table15[[#This Row],[motor]]-Table15[[#This Row],[motorEco]])</f>
        <v>0</v>
      </c>
    </row>
    <row r="40" spans="1:25" x14ac:dyDescent="0.25">
      <c r="A40" s="3">
        <v>3500</v>
      </c>
      <c r="B40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40" s="20"/>
      <c r="D40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40" s="20"/>
      <c r="F40" s="3">
        <f>Table36[Factor]*IF(Table15[[#This Row],[manualData]]&gt;0,Table15[[#This Row],[manualData]],Table15[[#This Row],[rawData]])</f>
        <v>0</v>
      </c>
      <c r="G40" s="3">
        <f>Table36[Factor]*IF(Table15[[#This Row],[manDataEco]]&gt;0,Table15[[#This Row],[manDataEco]],Table15[[#This Row],[rawDataEco]])</f>
        <v>0</v>
      </c>
      <c r="H40" s="3">
        <f>1.36*Table15[[#This Row],[rpm]]*Table15[[#This Row],[motor]]/9550</f>
        <v>0</v>
      </c>
      <c r="I40" s="3">
        <f>1.36*Table15[[#This Row],[rpm]]*Table15[[#This Row],[motorEco]]/9550</f>
        <v>0</v>
      </c>
      <c r="J40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40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40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40" s="3">
        <f>(1-(1-Table15[[#This Row],[rpm]]/Table36[idleRpm])^2)*Table7[idleT]</f>
        <v>-13583.6640625</v>
      </c>
      <c r="N40" s="3">
        <f>MAX(0,(1-Table7[f1]*(Table36[maxTRpm1]-Table15[[#This Row],[rpm]])^2)*Table36[maxT])</f>
        <v>0</v>
      </c>
      <c r="O40" s="3">
        <f>MAX(0,(Table36[linearDown]*(1-Table7[f2]*(Table15[[#This Row],[rpm]]-Table36[maxTRpm]))+(1-Table36[linearDown])*(1-Table7[f3]*(Table15[[#This Row],[rpm]]-Table36[maxTRpm])^2))*Table36[maxT])</f>
        <v>595.82115965294417</v>
      </c>
      <c r="P40" s="3">
        <f>MAX(0,(Table36[maxPS]-Table7[f4]*(Table15[[#This Row],[rpm]]-Table36[maxPRpm])^2)/1.36*9550/MAX(1,Table15[[#This Row],[rpm]]))</f>
        <v>24.075630252100954</v>
      </c>
      <c r="Q40" s="3">
        <f>MAX(0,Table7[Nm2]*MIN(Table36[ratedRpm]/MAX(1,Table15[[#This Row],[rpm]]),1-(MAX(0,Table15[[#This Row],[rpm]]-Table36[ratedRpm])/Table36[fadeOut])^Table36[fadeOutExp]))</f>
        <v>0</v>
      </c>
      <c r="R40" s="3">
        <f>(1-(1-Table15[[#This Row],[rpm]]/Table36[idleRpm])^2)*Table7[idleTEco]</f>
        <v>-13583.6640625</v>
      </c>
      <c r="S40" s="3">
        <f>MAX(0,(1-Table7[f1]*(Table36[maxTRpm1]-Table15[[#This Row],[rpm]])^2)*Table36[maxTEco])</f>
        <v>0</v>
      </c>
      <c r="T40" s="3">
        <f>MAX(0,(Table36[linearDown]*(1-Table7[f2Eco]*(Table15[[#This Row],[rpm]]-Table36[maxTRpm]))+(1-Table36[linearDown])*(1-Table7[f3Eco]*(Table15[[#This Row],[rpm]]-Table36[maxTRpm])^2))*Table36[maxTEco])</f>
        <v>595.82115965294417</v>
      </c>
      <c r="U40" s="3">
        <f>MAX(0,(Table36[maxPSEco]-Table7[f4Eco]*(Table15[[#This Row],[rpm]]-Table36[maxPRpm])^2)/1.36*9550/MAX(1,Table15[[#This Row],[rpm]]))</f>
        <v>24.075630252100954</v>
      </c>
      <c r="V40" s="3">
        <f>MAX(0,Table7[Nm2Eco]*MIN(Table36[ratedRpm]/MAX(1,Table15[[#This Row],[rpm]]),1-(MAX(0,Table15[[#This Row],[rpm]]-Table36[ratedRpm])/Table36[fadeOut])^Table36[fadeOutExp]))</f>
        <v>0</v>
      </c>
      <c r="W40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794.4957983193276</v>
      </c>
      <c r="X40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794.4957983193276</v>
      </c>
      <c r="Y40" s="3">
        <f>ABS(Table15[[#This Row],[motor]]-Table15[[#This Row],[motorEco]])</f>
        <v>0</v>
      </c>
    </row>
    <row r="41" spans="1:25" x14ac:dyDescent="0.25">
      <c r="A41" s="3">
        <v>3750</v>
      </c>
      <c r="B41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41" s="20"/>
      <c r="D41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41" s="20"/>
      <c r="F41" s="3">
        <f>Table36[Factor]*IF(Table15[[#This Row],[manualData]]&gt;0,Table15[[#This Row],[manualData]],Table15[[#This Row],[rawData]])</f>
        <v>0</v>
      </c>
      <c r="G41" s="3">
        <f>Table36[Factor]*IF(Table15[[#This Row],[manDataEco]]&gt;0,Table15[[#This Row],[manDataEco]],Table15[[#This Row],[rawDataEco]])</f>
        <v>0</v>
      </c>
      <c r="H41" s="3">
        <f>1.36*Table15[[#This Row],[rpm]]*Table15[[#This Row],[motor]]/9550</f>
        <v>0</v>
      </c>
      <c r="I41" s="3">
        <f>1.36*Table15[[#This Row],[rpm]]*Table15[[#This Row],[motorEco]]/9550</f>
        <v>0</v>
      </c>
      <c r="J41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41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41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41" s="3">
        <f>(1-(1-Table15[[#This Row],[rpm]]/Table36[idleRpm])^2)*Table7[idleT]</f>
        <v>-16468.916015625</v>
      </c>
      <c r="N41" s="3">
        <f>MAX(0,(1-Table7[f1]*(Table36[maxTRpm1]-Table15[[#This Row],[rpm]])^2)*Table36[maxT])</f>
        <v>0</v>
      </c>
      <c r="O41" s="3">
        <f>MAX(0,(Table36[linearDown]*(1-Table7[f2]*(Table15[[#This Row],[rpm]]-Table36[maxTRpm]))+(1-Table36[linearDown])*(1-Table7[f3]*(Table15[[#This Row],[rpm]]-Table36[maxTRpm])^2))*Table36[maxT])</f>
        <v>375.21343118143847</v>
      </c>
      <c r="P41" s="3">
        <f>MAX(0,(Table36[maxPS]-Table7[f4]*(Table15[[#This Row],[rpm]]-Table36[maxPRpm])^2)/1.36*9550/MAX(1,Table15[[#This Row],[rpm]]))</f>
        <v>0</v>
      </c>
      <c r="Q41" s="3">
        <f>MAX(0,Table7[Nm2]*MIN(Table36[ratedRpm]/MAX(1,Table15[[#This Row],[rpm]]),1-(MAX(0,Table15[[#This Row],[rpm]]-Table36[ratedRpm])/Table36[fadeOut])^Table36[fadeOutExp]))</f>
        <v>0</v>
      </c>
      <c r="R41" s="3">
        <f>(1-(1-Table15[[#This Row],[rpm]]/Table36[idleRpm])^2)*Table7[idleTEco]</f>
        <v>-16468.916015625</v>
      </c>
      <c r="S41" s="3">
        <f>MAX(0,(1-Table7[f1]*(Table36[maxTRpm1]-Table15[[#This Row],[rpm]])^2)*Table36[maxTEco])</f>
        <v>0</v>
      </c>
      <c r="T41" s="3">
        <f>MAX(0,(Table36[linearDown]*(1-Table7[f2Eco]*(Table15[[#This Row],[rpm]]-Table36[maxTRpm]))+(1-Table36[linearDown])*(1-Table7[f3Eco]*(Table15[[#This Row],[rpm]]-Table36[maxTRpm])^2))*Table36[maxTEco])</f>
        <v>375.21343118143847</v>
      </c>
      <c r="U41" s="3">
        <f>MAX(0,(Table36[maxPSEco]-Table7[f4Eco]*(Table15[[#This Row],[rpm]]-Table36[maxPRpm])^2)/1.36*9550/MAX(1,Table15[[#This Row],[rpm]]))</f>
        <v>0</v>
      </c>
      <c r="V41" s="3">
        <f>MAX(0,Table7[Nm2Eco]*MIN(Table36[ratedRpm]/MAX(1,Table15[[#This Row],[rpm]]),1-(MAX(0,Table15[[#This Row],[rpm]]-Table36[ratedRpm])/Table36[fadeOut])^Table36[fadeOutExp]))</f>
        <v>0</v>
      </c>
      <c r="W41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741.52941176470586</v>
      </c>
      <c r="X41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741.52941176470586</v>
      </c>
      <c r="Y41" s="3">
        <f>ABS(Table15[[#This Row],[motor]]-Table15[[#This Row],[motorEco]])</f>
        <v>0</v>
      </c>
    </row>
    <row r="42" spans="1:25" x14ac:dyDescent="0.25">
      <c r="A42" s="3">
        <v>4000</v>
      </c>
      <c r="B42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42" s="20"/>
      <c r="D42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42" s="20"/>
      <c r="F42" s="3">
        <f>Table36[Factor]*IF(Table15[[#This Row],[manualData]]&gt;0,Table15[[#This Row],[manualData]],Table15[[#This Row],[rawData]])</f>
        <v>0</v>
      </c>
      <c r="G42" s="3">
        <f>Table36[Factor]*IF(Table15[[#This Row],[manDataEco]]&gt;0,Table15[[#This Row],[manDataEco]],Table15[[#This Row],[rawDataEco]])</f>
        <v>0</v>
      </c>
      <c r="H42" s="3">
        <f>1.36*Table15[[#This Row],[rpm]]*Table15[[#This Row],[motor]]/9550</f>
        <v>0</v>
      </c>
      <c r="I42" s="3">
        <f>1.36*Table15[[#This Row],[rpm]]*Table15[[#This Row],[motorEco]]/9550</f>
        <v>0</v>
      </c>
      <c r="J42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42" s="10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42" s="10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42" s="3">
        <f>(1-(1-Table15[[#This Row],[rpm]]/Table36[idleRpm])^2)*Table7[idleT]</f>
        <v>-19609.5</v>
      </c>
      <c r="N42" s="3">
        <f>MAX(0,(1-Table7[f1]*(Table36[maxTRpm1]-Table15[[#This Row],[rpm]])^2)*Table36[maxT])</f>
        <v>0</v>
      </c>
      <c r="O42" s="3">
        <f>MAX(0,(Table36[linearDown]*(1-Table7[f2]*(Table15[[#This Row],[rpm]]-Table36[maxTRpm]))+(1-Table36[linearDown])*(1-Table7[f3]*(Table15[[#This Row],[rpm]]-Table36[maxTRpm])^2))*Table36[maxT])</f>
        <v>131.62573099415084</v>
      </c>
      <c r="P42" s="3">
        <f>MAX(0,(Table36[maxPS]-Table7[f4]*(Table15[[#This Row],[rpm]]-Table36[maxPRpm])^2)/1.36*9550/MAX(1,Table15[[#This Row],[rpm]]))</f>
        <v>0</v>
      </c>
      <c r="Q42" s="3">
        <f>MAX(0,Table7[Nm2]*MIN(Table36[ratedRpm]/MAX(1,Table15[[#This Row],[rpm]]),1-(MAX(0,Table15[[#This Row],[rpm]]-Table36[ratedRpm])/Table36[fadeOut])^Table36[fadeOutExp]))</f>
        <v>0</v>
      </c>
      <c r="R42" s="3">
        <f>(1-(1-Table15[[#This Row],[rpm]]/Table36[idleRpm])^2)*Table7[idleTEco]</f>
        <v>-19609.5</v>
      </c>
      <c r="S42" s="3">
        <f>MAX(0,(1-Table7[f1]*(Table36[maxTRpm1]-Table15[[#This Row],[rpm]])^2)*Table36[maxTEco])</f>
        <v>0</v>
      </c>
      <c r="T42" s="3">
        <f>MAX(0,(Table36[linearDown]*(1-Table7[f2Eco]*(Table15[[#This Row],[rpm]]-Table36[maxTRpm]))+(1-Table36[linearDown])*(1-Table7[f3Eco]*(Table15[[#This Row],[rpm]]-Table36[maxTRpm])^2))*Table36[maxTEco])</f>
        <v>131.62573099415084</v>
      </c>
      <c r="U42" s="3">
        <f>MAX(0,(Table36[maxPSEco]-Table7[f4Eco]*(Table15[[#This Row],[rpm]]-Table36[maxPRpm])^2)/1.36*9550/MAX(1,Table15[[#This Row],[rpm]]))</f>
        <v>0</v>
      </c>
      <c r="V42" s="3">
        <f>MAX(0,Table7[Nm2Eco]*MIN(Table36[ratedRpm]/MAX(1,Table15[[#This Row],[rpm]]),1-(MAX(0,Table15[[#This Row],[rpm]]-Table36[ratedRpm])/Table36[fadeOut])^Table36[fadeOutExp]))</f>
        <v>0</v>
      </c>
      <c r="W42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695.18382352941171</v>
      </c>
      <c r="X42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695.18382352941171</v>
      </c>
      <c r="Y42" s="3">
        <f>ABS(Table15[[#This Row],[motor]]-Table15[[#This Row],[motorEco]])</f>
        <v>0</v>
      </c>
    </row>
    <row r="43" spans="1:25" x14ac:dyDescent="0.25">
      <c r="A43" s="3">
        <v>4250</v>
      </c>
      <c r="B43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43" s="20"/>
      <c r="D43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43" s="20"/>
      <c r="F43" s="3">
        <f>Table36[Factor]*IF(Table15[[#This Row],[manualData]]&gt;0,Table15[[#This Row],[manualData]],Table15[[#This Row],[rawData]])</f>
        <v>0</v>
      </c>
      <c r="G43" s="3">
        <f>Table36[Factor]*IF(Table15[[#This Row],[manDataEco]]&gt;0,Table15[[#This Row],[manDataEco]],Table15[[#This Row],[rawDataEco]])</f>
        <v>0</v>
      </c>
      <c r="H43" s="3">
        <f>1.36*Table15[[#This Row],[rpm]]*Table15[[#This Row],[motor]]/9550</f>
        <v>0</v>
      </c>
      <c r="I43" s="3">
        <f>1.36*Table15[[#This Row],[rpm]]*Table15[[#This Row],[motorEco]]/9550</f>
        <v>0</v>
      </c>
      <c r="J43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43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43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43" s="3">
        <f>(1-(1-Table15[[#This Row],[rpm]]/Table36[idleRpm])^2)*Table7[idleT]</f>
        <v>-23005.416015625</v>
      </c>
      <c r="N43" s="3">
        <f>MAX(0,(1-Table7[f1]*(Table36[maxTRpm1]-Table15[[#This Row],[rpm]])^2)*Table36[maxT])</f>
        <v>0</v>
      </c>
      <c r="O43" s="3">
        <f>MAX(0,(Table36[linearDown]*(1-Table7[f2]*(Table15[[#This Row],[rpm]]-Table36[maxTRpm]))+(1-Table36[linearDown])*(1-Table7[f3]*(Table15[[#This Row],[rpm]]-Table36[maxTRpm])^2))*Table36[maxT])</f>
        <v>0</v>
      </c>
      <c r="P43" s="3">
        <f>MAX(0,(Table36[maxPS]-Table7[f4]*(Table15[[#This Row],[rpm]]-Table36[maxPRpm])^2)/1.36*9550/MAX(1,Table15[[#This Row],[rpm]]))</f>
        <v>0</v>
      </c>
      <c r="Q43" s="3">
        <f>MAX(0,Table7[Nm2]*MIN(Table36[ratedRpm]/MAX(1,Table15[[#This Row],[rpm]]),1-(MAX(0,Table15[[#This Row],[rpm]]-Table36[ratedRpm])/Table36[fadeOut])^Table36[fadeOutExp]))</f>
        <v>0</v>
      </c>
      <c r="R43" s="3">
        <f>(1-(1-Table15[[#This Row],[rpm]]/Table36[idleRpm])^2)*Table7[idleTEco]</f>
        <v>-23005.416015625</v>
      </c>
      <c r="S43" s="3">
        <f>MAX(0,(1-Table7[f1]*(Table36[maxTRpm1]-Table15[[#This Row],[rpm]])^2)*Table36[maxTEco])</f>
        <v>0</v>
      </c>
      <c r="T43" s="3">
        <f>MAX(0,(Table36[linearDown]*(1-Table7[f2Eco]*(Table15[[#This Row],[rpm]]-Table36[maxTRpm]))+(1-Table36[linearDown])*(1-Table7[f3Eco]*(Table15[[#This Row],[rpm]]-Table36[maxTRpm])^2))*Table36[maxTEco])</f>
        <v>0</v>
      </c>
      <c r="U43" s="3">
        <f>MAX(0,(Table36[maxPSEco]-Table7[f4Eco]*(Table15[[#This Row],[rpm]]-Table36[maxPRpm])^2)/1.36*9550/MAX(1,Table15[[#This Row],[rpm]]))</f>
        <v>0</v>
      </c>
      <c r="V43" s="3">
        <f>MAX(0,Table7[Nm2Eco]*MIN(Table36[ratedRpm]/MAX(1,Table15[[#This Row],[rpm]]),1-(MAX(0,Table15[[#This Row],[rpm]]-Table36[ratedRpm])/Table36[fadeOut])^Table36[fadeOutExp]))</f>
        <v>0</v>
      </c>
      <c r="W43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654.29065743944625</v>
      </c>
      <c r="X43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654.29065743944625</v>
      </c>
      <c r="Y43" s="3">
        <f>ABS(Table15[[#This Row],[motor]]-Table15[[#This Row],[motorEco]])</f>
        <v>0</v>
      </c>
    </row>
    <row r="44" spans="1:25" x14ac:dyDescent="0.25">
      <c r="A44" s="3">
        <v>4500</v>
      </c>
      <c r="B44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44" s="20"/>
      <c r="D44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44" s="20"/>
      <c r="F44" s="3">
        <f>Table36[Factor]*IF(Table15[[#This Row],[manualData]]&gt;0,Table15[[#This Row],[manualData]],Table15[[#This Row],[rawData]])</f>
        <v>0</v>
      </c>
      <c r="G44" s="3">
        <f>Table36[Factor]*IF(Table15[[#This Row],[manDataEco]]&gt;0,Table15[[#This Row],[manDataEco]],Table15[[#This Row],[rawDataEco]])</f>
        <v>0</v>
      </c>
      <c r="H44" s="3">
        <f>1.36*Table15[[#This Row],[rpm]]*Table15[[#This Row],[motor]]/9550</f>
        <v>0</v>
      </c>
      <c r="I44" s="3">
        <f>1.36*Table15[[#This Row],[rpm]]*Table15[[#This Row],[motorEco]]/9550</f>
        <v>0</v>
      </c>
      <c r="J44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44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44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44" s="3">
        <f>(1-(1-Table15[[#This Row],[rpm]]/Table36[idleRpm])^2)*Table7[idleT]</f>
        <v>-26656.6640625</v>
      </c>
      <c r="N44" s="3">
        <f>MAX(0,(1-Table7[f1]*(Table36[maxTRpm1]-Table15[[#This Row],[rpm]])^2)*Table36[maxT])</f>
        <v>0</v>
      </c>
      <c r="O44" s="3">
        <f>MAX(0,(Table36[linearDown]*(1-Table7[f2]*(Table15[[#This Row],[rpm]]-Table36[maxTRpm]))+(1-Table36[linearDown])*(1-Table7[f3]*(Table15[[#This Row],[rpm]]-Table36[maxTRpm])^2))*Table36[maxT])</f>
        <v>0</v>
      </c>
      <c r="P44" s="3">
        <f>MAX(0,(Table36[maxPS]-Table7[f4]*(Table15[[#This Row],[rpm]]-Table36[maxPRpm])^2)/1.36*9550/MAX(1,Table15[[#This Row],[rpm]]))</f>
        <v>0</v>
      </c>
      <c r="Q44" s="3">
        <f>MAX(0,Table7[Nm2]*MIN(Table36[ratedRpm]/MAX(1,Table15[[#This Row],[rpm]]),1-(MAX(0,Table15[[#This Row],[rpm]]-Table36[ratedRpm])/Table36[fadeOut])^Table36[fadeOutExp]))</f>
        <v>0</v>
      </c>
      <c r="R44" s="3">
        <f>(1-(1-Table15[[#This Row],[rpm]]/Table36[idleRpm])^2)*Table7[idleTEco]</f>
        <v>-26656.6640625</v>
      </c>
      <c r="S44" s="3">
        <f>MAX(0,(1-Table7[f1]*(Table36[maxTRpm1]-Table15[[#This Row],[rpm]])^2)*Table36[maxTEco])</f>
        <v>0</v>
      </c>
      <c r="T44" s="3">
        <f>MAX(0,(Table36[linearDown]*(1-Table7[f2Eco]*(Table15[[#This Row],[rpm]]-Table36[maxTRpm]))+(1-Table36[linearDown])*(1-Table7[f3Eco]*(Table15[[#This Row],[rpm]]-Table36[maxTRpm])^2))*Table36[maxTEco])</f>
        <v>0</v>
      </c>
      <c r="U44" s="3">
        <f>MAX(0,(Table36[maxPSEco]-Table7[f4Eco]*(Table15[[#This Row],[rpm]]-Table36[maxPRpm])^2)/1.36*9550/MAX(1,Table15[[#This Row],[rpm]]))</f>
        <v>0</v>
      </c>
      <c r="V44" s="3">
        <f>MAX(0,Table7[Nm2Eco]*MIN(Table36[ratedRpm]/MAX(1,Table15[[#This Row],[rpm]]),1-(MAX(0,Table15[[#This Row],[rpm]]-Table36[ratedRpm])/Table36[fadeOut])^Table36[fadeOutExp]))</f>
        <v>0</v>
      </c>
      <c r="W44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617.94117647058818</v>
      </c>
      <c r="X44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617.94117647058818</v>
      </c>
      <c r="Y44" s="3">
        <f>ABS(Table15[[#This Row],[motor]]-Table15[[#This Row],[motorEco]])</f>
        <v>0</v>
      </c>
    </row>
    <row r="45" spans="1:25" x14ac:dyDescent="0.25">
      <c r="A45" s="3">
        <v>4750</v>
      </c>
      <c r="B45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45" s="20"/>
      <c r="D45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45" s="20"/>
      <c r="F45" s="3">
        <f>Table36[Factor]*IF(Table15[[#This Row],[manualData]]&gt;0,Table15[[#This Row],[manualData]],Table15[[#This Row],[rawData]])</f>
        <v>0</v>
      </c>
      <c r="G45" s="3">
        <f>Table36[Factor]*IF(Table15[[#This Row],[manDataEco]]&gt;0,Table15[[#This Row],[manDataEco]],Table15[[#This Row],[rawDataEco]])</f>
        <v>0</v>
      </c>
      <c r="H45" s="3">
        <f>1.36*Table15[[#This Row],[rpm]]*Table15[[#This Row],[motor]]/9550</f>
        <v>0</v>
      </c>
      <c r="I45" s="3">
        <f>1.36*Table15[[#This Row],[rpm]]*Table15[[#This Row],[motorEco]]/9550</f>
        <v>0</v>
      </c>
      <c r="J45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45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45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45" s="3">
        <f>(1-(1-Table15[[#This Row],[rpm]]/Table36[idleRpm])^2)*Table7[idleT]</f>
        <v>-30563.244140625</v>
      </c>
      <c r="N45" s="3">
        <f>MAX(0,(1-Table7[f1]*(Table36[maxTRpm1]-Table15[[#This Row],[rpm]])^2)*Table36[maxT])</f>
        <v>0</v>
      </c>
      <c r="O45" s="3">
        <f>MAX(0,(Table36[linearDown]*(1-Table7[f2]*(Table15[[#This Row],[rpm]]-Table36[maxTRpm]))+(1-Table36[linearDown])*(1-Table7[f3]*(Table15[[#This Row],[rpm]]-Table36[maxTRpm])^2))*Table36[maxT])</f>
        <v>0</v>
      </c>
      <c r="P45" s="3">
        <f>MAX(0,(Table36[maxPS]-Table7[f4]*(Table15[[#This Row],[rpm]]-Table36[maxPRpm])^2)/1.36*9550/MAX(1,Table15[[#This Row],[rpm]]))</f>
        <v>0</v>
      </c>
      <c r="Q45" s="3">
        <f>MAX(0,Table7[Nm2]*MIN(Table36[ratedRpm]/MAX(1,Table15[[#This Row],[rpm]]),1-(MAX(0,Table15[[#This Row],[rpm]]-Table36[ratedRpm])/Table36[fadeOut])^Table36[fadeOutExp]))</f>
        <v>0</v>
      </c>
      <c r="R45" s="3">
        <f>(1-(1-Table15[[#This Row],[rpm]]/Table36[idleRpm])^2)*Table7[idleTEco]</f>
        <v>-30563.244140625</v>
      </c>
      <c r="S45" s="3">
        <f>MAX(0,(1-Table7[f1]*(Table36[maxTRpm1]-Table15[[#This Row],[rpm]])^2)*Table36[maxTEco])</f>
        <v>0</v>
      </c>
      <c r="T45" s="3">
        <f>MAX(0,(Table36[linearDown]*(1-Table7[f2Eco]*(Table15[[#This Row],[rpm]]-Table36[maxTRpm]))+(1-Table36[linearDown])*(1-Table7[f3Eco]*(Table15[[#This Row],[rpm]]-Table36[maxTRpm])^2))*Table36[maxTEco])</f>
        <v>0</v>
      </c>
      <c r="U45" s="3">
        <f>MAX(0,(Table36[maxPSEco]-Table7[f4Eco]*(Table15[[#This Row],[rpm]]-Table36[maxPRpm])^2)/1.36*9550/MAX(1,Table15[[#This Row],[rpm]]))</f>
        <v>0</v>
      </c>
      <c r="V45" s="3">
        <f>MAX(0,Table7[Nm2Eco]*MIN(Table36[ratedRpm]/MAX(1,Table15[[#This Row],[rpm]]),1-(MAX(0,Table15[[#This Row],[rpm]]-Table36[ratedRpm])/Table36[fadeOut])^Table36[fadeOutExp]))</f>
        <v>0</v>
      </c>
      <c r="W45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585.41795665634663</v>
      </c>
      <c r="X45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585.41795665634663</v>
      </c>
      <c r="Y45" s="3">
        <f>ABS(Table15[[#This Row],[motor]]-Table15[[#This Row],[motorEco]])</f>
        <v>0</v>
      </c>
    </row>
    <row r="46" spans="1:25" x14ac:dyDescent="0.25">
      <c r="A46" s="3">
        <v>5000</v>
      </c>
      <c r="B46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46" s="20"/>
      <c r="D46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46" s="20"/>
      <c r="F46" s="3">
        <f>Table36[Factor]*IF(Table15[[#This Row],[manualData]]&gt;0,Table15[[#This Row],[manualData]],Table15[[#This Row],[rawData]])</f>
        <v>0</v>
      </c>
      <c r="G46" s="3">
        <f>Table36[Factor]*IF(Table15[[#This Row],[manDataEco]]&gt;0,Table15[[#This Row],[manDataEco]],Table15[[#This Row],[rawDataEco]])</f>
        <v>0</v>
      </c>
      <c r="H46" s="3">
        <f>1.36*Table15[[#This Row],[rpm]]*Table15[[#This Row],[motor]]/9550</f>
        <v>0</v>
      </c>
      <c r="I46" s="3">
        <f>1.36*Table15[[#This Row],[rpm]]*Table15[[#This Row],[motorEco]]/9550</f>
        <v>0</v>
      </c>
      <c r="J46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46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46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46" s="3">
        <f>(1-(1-Table15[[#This Row],[rpm]]/Table36[idleRpm])^2)*Table7[idleT]</f>
        <v>-34725.15625</v>
      </c>
      <c r="N46" s="3">
        <f>MAX(0,(1-Table7[f1]*(Table36[maxTRpm1]-Table15[[#This Row],[rpm]])^2)*Table36[maxT])</f>
        <v>0</v>
      </c>
      <c r="O46" s="3">
        <f>MAX(0,(Table36[linearDown]*(1-Table7[f2]*(Table15[[#This Row],[rpm]]-Table36[maxTRpm]))+(1-Table36[linearDown])*(1-Table7[f3]*(Table15[[#This Row],[rpm]]-Table36[maxTRpm])^2))*Table36[maxT])</f>
        <v>0</v>
      </c>
      <c r="P46" s="3">
        <f>MAX(0,(Table36[maxPS]-Table7[f4]*(Table15[[#This Row],[rpm]]-Table36[maxPRpm])^2)/1.36*9550/MAX(1,Table15[[#This Row],[rpm]]))</f>
        <v>0</v>
      </c>
      <c r="Q46" s="3">
        <f>MAX(0,Table7[Nm2]*MIN(Table36[ratedRpm]/MAX(1,Table15[[#This Row],[rpm]]),1-(MAX(0,Table15[[#This Row],[rpm]]-Table36[ratedRpm])/Table36[fadeOut])^Table36[fadeOutExp]))</f>
        <v>0</v>
      </c>
      <c r="R46" s="3">
        <f>(1-(1-Table15[[#This Row],[rpm]]/Table36[idleRpm])^2)*Table7[idleTEco]</f>
        <v>-34725.15625</v>
      </c>
      <c r="S46" s="3">
        <f>MAX(0,(1-Table7[f1]*(Table36[maxTRpm1]-Table15[[#This Row],[rpm]])^2)*Table36[maxTEco])</f>
        <v>0</v>
      </c>
      <c r="T46" s="3">
        <f>MAX(0,(Table36[linearDown]*(1-Table7[f2Eco]*(Table15[[#This Row],[rpm]]-Table36[maxTRpm]))+(1-Table36[linearDown])*(1-Table7[f3Eco]*(Table15[[#This Row],[rpm]]-Table36[maxTRpm])^2))*Table36[maxTEco])</f>
        <v>0</v>
      </c>
      <c r="U46" s="3">
        <f>MAX(0,(Table36[maxPSEco]-Table7[f4Eco]*(Table15[[#This Row],[rpm]]-Table36[maxPRpm])^2)/1.36*9550/MAX(1,Table15[[#This Row],[rpm]]))</f>
        <v>0</v>
      </c>
      <c r="V46" s="3">
        <f>MAX(0,Table7[Nm2Eco]*MIN(Table36[ratedRpm]/MAX(1,Table15[[#This Row],[rpm]]),1-(MAX(0,Table15[[#This Row],[rpm]]-Table36[ratedRpm])/Table36[fadeOut])^Table36[fadeOutExp]))</f>
        <v>0</v>
      </c>
      <c r="W46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556.14705882352939</v>
      </c>
      <c r="X46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556.14705882352939</v>
      </c>
      <c r="Y46" s="3">
        <f>ABS(Table15[[#This Row],[motor]]-Table15[[#This Row],[motorEco]])</f>
        <v>0</v>
      </c>
    </row>
    <row r="47" spans="1:25" x14ac:dyDescent="0.25">
      <c r="A47" s="3">
        <v>5250</v>
      </c>
      <c r="B47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47" s="20"/>
      <c r="D47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47" s="20"/>
      <c r="F47" s="3">
        <f>Table36[Factor]*IF(Table15[[#This Row],[manualData]]&gt;0,Table15[[#This Row],[manualData]],Table15[[#This Row],[rawData]])</f>
        <v>0</v>
      </c>
      <c r="G47" s="3">
        <f>Table36[Factor]*IF(Table15[[#This Row],[manDataEco]]&gt;0,Table15[[#This Row],[manDataEco]],Table15[[#This Row],[rawDataEco]])</f>
        <v>0</v>
      </c>
      <c r="H47" s="3">
        <f>1.36*Table15[[#This Row],[rpm]]*Table15[[#This Row],[motor]]/9550</f>
        <v>0</v>
      </c>
      <c r="I47" s="3">
        <f>1.36*Table15[[#This Row],[rpm]]*Table15[[#This Row],[motorEco]]/9550</f>
        <v>0</v>
      </c>
      <c r="J47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47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47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47" s="3">
        <f>(1-(1-Table15[[#This Row],[rpm]]/Table36[idleRpm])^2)*Table7[idleT]</f>
        <v>-39142.400390625</v>
      </c>
      <c r="N47" s="3">
        <f>MAX(0,(1-Table7[f1]*(Table36[maxTRpm1]-Table15[[#This Row],[rpm]])^2)*Table36[maxT])</f>
        <v>0</v>
      </c>
      <c r="O47" s="3">
        <f>MAX(0,(Table36[linearDown]*(1-Table7[f2]*(Table15[[#This Row],[rpm]]-Table36[maxTRpm]))+(1-Table36[linearDown])*(1-Table7[f3]*(Table15[[#This Row],[rpm]]-Table36[maxTRpm])^2))*Table36[maxT])</f>
        <v>0</v>
      </c>
      <c r="P47" s="3">
        <f>MAX(0,(Table36[maxPS]-Table7[f4]*(Table15[[#This Row],[rpm]]-Table36[maxPRpm])^2)/1.36*9550/MAX(1,Table15[[#This Row],[rpm]]))</f>
        <v>0</v>
      </c>
      <c r="Q47" s="3">
        <f>MAX(0,Table7[Nm2]*MIN(Table36[ratedRpm]/MAX(1,Table15[[#This Row],[rpm]]),1-(MAX(0,Table15[[#This Row],[rpm]]-Table36[ratedRpm])/Table36[fadeOut])^Table36[fadeOutExp]))</f>
        <v>0</v>
      </c>
      <c r="R47" s="3">
        <f>(1-(1-Table15[[#This Row],[rpm]]/Table36[idleRpm])^2)*Table7[idleTEco]</f>
        <v>-39142.400390625</v>
      </c>
      <c r="S47" s="3">
        <f>MAX(0,(1-Table7[f1]*(Table36[maxTRpm1]-Table15[[#This Row],[rpm]])^2)*Table36[maxTEco])</f>
        <v>0</v>
      </c>
      <c r="T47" s="3">
        <f>MAX(0,(Table36[linearDown]*(1-Table7[f2Eco]*(Table15[[#This Row],[rpm]]-Table36[maxTRpm]))+(1-Table36[linearDown])*(1-Table7[f3Eco]*(Table15[[#This Row],[rpm]]-Table36[maxTRpm])^2))*Table36[maxTEco])</f>
        <v>0</v>
      </c>
      <c r="U47" s="3">
        <f>MAX(0,(Table36[maxPSEco]-Table7[f4Eco]*(Table15[[#This Row],[rpm]]-Table36[maxPRpm])^2)/1.36*9550/MAX(1,Table15[[#This Row],[rpm]]))</f>
        <v>0</v>
      </c>
      <c r="V47" s="3">
        <f>MAX(0,Table7[Nm2Eco]*MIN(Table36[ratedRpm]/MAX(1,Table15[[#This Row],[rpm]]),1-(MAX(0,Table15[[#This Row],[rpm]]-Table36[ratedRpm])/Table36[fadeOut])^Table36[fadeOutExp]))</f>
        <v>0</v>
      </c>
      <c r="W47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529.6638655462184</v>
      </c>
      <c r="X47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529.6638655462184</v>
      </c>
      <c r="Y47" s="3">
        <f>ABS(Table15[[#This Row],[motor]]-Table15[[#This Row],[motorEco]])</f>
        <v>0</v>
      </c>
    </row>
    <row r="48" spans="1:25" x14ac:dyDescent="0.25">
      <c r="A48" s="3">
        <v>5500</v>
      </c>
      <c r="B48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48" s="20"/>
      <c r="D48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48" s="20"/>
      <c r="F48" s="3">
        <f>Table36[Factor]*IF(Table15[[#This Row],[manualData]]&gt;0,Table15[[#This Row],[manualData]],Table15[[#This Row],[rawData]])</f>
        <v>0</v>
      </c>
      <c r="G48" s="3">
        <f>Table36[Factor]*IF(Table15[[#This Row],[manDataEco]]&gt;0,Table15[[#This Row],[manDataEco]],Table15[[#This Row],[rawDataEco]])</f>
        <v>0</v>
      </c>
      <c r="H48" s="3">
        <f>1.36*Table15[[#This Row],[rpm]]*Table15[[#This Row],[motor]]/9550</f>
        <v>0</v>
      </c>
      <c r="I48" s="3">
        <f>1.36*Table15[[#This Row],[rpm]]*Table15[[#This Row],[motorEco]]/9550</f>
        <v>0</v>
      </c>
      <c r="J48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48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48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48" s="3">
        <f>(1-(1-Table15[[#This Row],[rpm]]/Table36[idleRpm])^2)*Table7[idleT]</f>
        <v>-43814.9765625</v>
      </c>
      <c r="N48" s="3">
        <f>MAX(0,(1-Table7[f1]*(Table36[maxTRpm1]-Table15[[#This Row],[rpm]])^2)*Table36[maxT])</f>
        <v>0</v>
      </c>
      <c r="O48" s="3">
        <f>MAX(0,(Table36[linearDown]*(1-Table7[f2]*(Table15[[#This Row],[rpm]]-Table36[maxTRpm]))+(1-Table36[linearDown])*(1-Table7[f3]*(Table15[[#This Row],[rpm]]-Table36[maxTRpm])^2))*Table36[maxT])</f>
        <v>0</v>
      </c>
      <c r="P48" s="3">
        <f>MAX(0,(Table36[maxPS]-Table7[f4]*(Table15[[#This Row],[rpm]]-Table36[maxPRpm])^2)/1.36*9550/MAX(1,Table15[[#This Row],[rpm]]))</f>
        <v>0</v>
      </c>
      <c r="Q48" s="3">
        <f>MAX(0,Table7[Nm2]*MIN(Table36[ratedRpm]/MAX(1,Table15[[#This Row],[rpm]]),1-(MAX(0,Table15[[#This Row],[rpm]]-Table36[ratedRpm])/Table36[fadeOut])^Table36[fadeOutExp]))</f>
        <v>0</v>
      </c>
      <c r="R48" s="3">
        <f>(1-(1-Table15[[#This Row],[rpm]]/Table36[idleRpm])^2)*Table7[idleTEco]</f>
        <v>-43814.9765625</v>
      </c>
      <c r="S48" s="3">
        <f>MAX(0,(1-Table7[f1]*(Table36[maxTRpm1]-Table15[[#This Row],[rpm]])^2)*Table36[maxTEco])</f>
        <v>0</v>
      </c>
      <c r="T48" s="3">
        <f>MAX(0,(Table36[linearDown]*(1-Table7[f2Eco]*(Table15[[#This Row],[rpm]]-Table36[maxTRpm]))+(1-Table36[linearDown])*(1-Table7[f3Eco]*(Table15[[#This Row],[rpm]]-Table36[maxTRpm])^2))*Table36[maxTEco])</f>
        <v>0</v>
      </c>
      <c r="U48" s="3">
        <f>MAX(0,(Table36[maxPSEco]-Table7[f4Eco]*(Table15[[#This Row],[rpm]]-Table36[maxPRpm])^2)/1.36*9550/MAX(1,Table15[[#This Row],[rpm]]))</f>
        <v>0</v>
      </c>
      <c r="V48" s="3">
        <f>MAX(0,Table7[Nm2Eco]*MIN(Table36[ratedRpm]/MAX(1,Table15[[#This Row],[rpm]]),1-(MAX(0,Table15[[#This Row],[rpm]]-Table36[ratedRpm])/Table36[fadeOut])^Table36[fadeOutExp]))</f>
        <v>0</v>
      </c>
      <c r="W48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505.58823529411757</v>
      </c>
      <c r="X48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505.58823529411757</v>
      </c>
      <c r="Y48" s="3">
        <f>ABS(Table15[[#This Row],[motor]]-Table15[[#This Row],[motorEco]])</f>
        <v>0</v>
      </c>
    </row>
    <row r="49" spans="1:25" x14ac:dyDescent="0.25">
      <c r="A49" s="3">
        <v>5750</v>
      </c>
      <c r="B49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49" s="20"/>
      <c r="D49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49" s="20"/>
      <c r="F49" s="3">
        <f>Table36[Factor]*IF(Table15[[#This Row],[manualData]]&gt;0,Table15[[#This Row],[manualData]],Table15[[#This Row],[rawData]])</f>
        <v>0</v>
      </c>
      <c r="G49" s="3">
        <f>Table36[Factor]*IF(Table15[[#This Row],[manDataEco]]&gt;0,Table15[[#This Row],[manDataEco]],Table15[[#This Row],[rawDataEco]])</f>
        <v>0</v>
      </c>
      <c r="H49" s="3">
        <f>1.36*Table15[[#This Row],[rpm]]*Table15[[#This Row],[motor]]/9550</f>
        <v>0</v>
      </c>
      <c r="I49" s="3">
        <f>1.36*Table15[[#This Row],[rpm]]*Table15[[#This Row],[motorEco]]/9550</f>
        <v>0</v>
      </c>
      <c r="J49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49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49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49" s="3">
        <f>(1-(1-Table15[[#This Row],[rpm]]/Table36[idleRpm])^2)*Table7[idleT]</f>
        <v>-48742.884765625</v>
      </c>
      <c r="N49" s="3">
        <f>MAX(0,(1-Table7[f1]*(Table36[maxTRpm1]-Table15[[#This Row],[rpm]])^2)*Table36[maxT])</f>
        <v>0</v>
      </c>
      <c r="O49" s="3">
        <f>MAX(0,(Table36[linearDown]*(1-Table7[f2]*(Table15[[#This Row],[rpm]]-Table36[maxTRpm]))+(1-Table36[linearDown])*(1-Table7[f3]*(Table15[[#This Row],[rpm]]-Table36[maxTRpm])^2))*Table36[maxT])</f>
        <v>0</v>
      </c>
      <c r="P49" s="3">
        <f>MAX(0,(Table36[maxPS]-Table7[f4]*(Table15[[#This Row],[rpm]]-Table36[maxPRpm])^2)/1.36*9550/MAX(1,Table15[[#This Row],[rpm]]))</f>
        <v>0</v>
      </c>
      <c r="Q49" s="3">
        <f>MAX(0,Table7[Nm2]*MIN(Table36[ratedRpm]/MAX(1,Table15[[#This Row],[rpm]]),1-(MAX(0,Table15[[#This Row],[rpm]]-Table36[ratedRpm])/Table36[fadeOut])^Table36[fadeOutExp]))</f>
        <v>0</v>
      </c>
      <c r="R49" s="3">
        <f>(1-(1-Table15[[#This Row],[rpm]]/Table36[idleRpm])^2)*Table7[idleTEco]</f>
        <v>-48742.884765625</v>
      </c>
      <c r="S49" s="3">
        <f>MAX(0,(1-Table7[f1]*(Table36[maxTRpm1]-Table15[[#This Row],[rpm]])^2)*Table36[maxTEco])</f>
        <v>0</v>
      </c>
      <c r="T49" s="3">
        <f>MAX(0,(Table36[linearDown]*(1-Table7[f2Eco]*(Table15[[#This Row],[rpm]]-Table36[maxTRpm]))+(1-Table36[linearDown])*(1-Table7[f3Eco]*(Table15[[#This Row],[rpm]]-Table36[maxTRpm])^2))*Table36[maxTEco])</f>
        <v>0</v>
      </c>
      <c r="U49" s="3">
        <f>MAX(0,(Table36[maxPSEco]-Table7[f4Eco]*(Table15[[#This Row],[rpm]]-Table36[maxPRpm])^2)/1.36*9550/MAX(1,Table15[[#This Row],[rpm]]))</f>
        <v>0</v>
      </c>
      <c r="V49" s="3">
        <f>MAX(0,Table7[Nm2Eco]*MIN(Table36[ratedRpm]/MAX(1,Table15[[#This Row],[rpm]]),1-(MAX(0,Table15[[#This Row],[rpm]]-Table36[ratedRpm])/Table36[fadeOut])^Table36[fadeOutExp]))</f>
        <v>0</v>
      </c>
      <c r="W49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483.60613810741683</v>
      </c>
      <c r="X49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483.60613810741683</v>
      </c>
      <c r="Y49" s="3">
        <f>ABS(Table15[[#This Row],[motor]]-Table15[[#This Row],[motorEco]])</f>
        <v>0</v>
      </c>
    </row>
    <row r="50" spans="1:25" x14ac:dyDescent="0.25">
      <c r="A50" s="3">
        <v>6000</v>
      </c>
      <c r="B50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50" s="20"/>
      <c r="D50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50" s="20"/>
      <c r="F50" s="3">
        <f>Table36[Factor]*IF(Table15[[#This Row],[manualData]]&gt;0,Table15[[#This Row],[manualData]],Table15[[#This Row],[rawData]])</f>
        <v>0</v>
      </c>
      <c r="G50" s="3">
        <f>Table36[Factor]*IF(Table15[[#This Row],[manDataEco]]&gt;0,Table15[[#This Row],[manDataEco]],Table15[[#This Row],[rawDataEco]])</f>
        <v>0</v>
      </c>
      <c r="H50" s="3">
        <f>1.36*Table15[[#This Row],[rpm]]*Table15[[#This Row],[motor]]/9550</f>
        <v>0</v>
      </c>
      <c r="I50" s="3">
        <f>1.36*Table15[[#This Row],[rpm]]*Table15[[#This Row],[motorEco]]/9550</f>
        <v>0</v>
      </c>
      <c r="J50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50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50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50" s="3">
        <f>(1-(1-Table15[[#This Row],[rpm]]/Table36[idleRpm])^2)*Table7[idleT]</f>
        <v>-53926.125</v>
      </c>
      <c r="N50" s="3">
        <f>MAX(0,(1-Table7[f1]*(Table36[maxTRpm1]-Table15[[#This Row],[rpm]])^2)*Table36[maxT])</f>
        <v>0</v>
      </c>
      <c r="O50" s="3">
        <f>MAX(0,(Table36[linearDown]*(1-Table7[f2]*(Table15[[#This Row],[rpm]]-Table36[maxTRpm]))+(1-Table36[linearDown])*(1-Table7[f3]*(Table15[[#This Row],[rpm]]-Table36[maxTRpm])^2))*Table36[maxT])</f>
        <v>0</v>
      </c>
      <c r="P50" s="3">
        <f>MAX(0,(Table36[maxPS]-Table7[f4]*(Table15[[#This Row],[rpm]]-Table36[maxPRpm])^2)/1.36*9550/MAX(1,Table15[[#This Row],[rpm]]))</f>
        <v>0</v>
      </c>
      <c r="Q50" s="3">
        <f>MAX(0,Table7[Nm2]*MIN(Table36[ratedRpm]/MAX(1,Table15[[#This Row],[rpm]]),1-(MAX(0,Table15[[#This Row],[rpm]]-Table36[ratedRpm])/Table36[fadeOut])^Table36[fadeOutExp]))</f>
        <v>0</v>
      </c>
      <c r="R50" s="3">
        <f>(1-(1-Table15[[#This Row],[rpm]]/Table36[idleRpm])^2)*Table7[idleTEco]</f>
        <v>-53926.125</v>
      </c>
      <c r="S50" s="3">
        <f>MAX(0,(1-Table7[f1]*(Table36[maxTRpm1]-Table15[[#This Row],[rpm]])^2)*Table36[maxTEco])</f>
        <v>0</v>
      </c>
      <c r="T50" s="3">
        <f>MAX(0,(Table36[linearDown]*(1-Table7[f2Eco]*(Table15[[#This Row],[rpm]]-Table36[maxTRpm]))+(1-Table36[linearDown])*(1-Table7[f3Eco]*(Table15[[#This Row],[rpm]]-Table36[maxTRpm])^2))*Table36[maxTEco])</f>
        <v>0</v>
      </c>
      <c r="U50" s="3">
        <f>MAX(0,(Table36[maxPSEco]-Table7[f4Eco]*(Table15[[#This Row],[rpm]]-Table36[maxPRpm])^2)/1.36*9550/MAX(1,Table15[[#This Row],[rpm]]))</f>
        <v>0</v>
      </c>
      <c r="V50" s="3">
        <f>MAX(0,Table7[Nm2Eco]*MIN(Table36[ratedRpm]/MAX(1,Table15[[#This Row],[rpm]]),1-(MAX(0,Table15[[#This Row],[rpm]]-Table36[ratedRpm])/Table36[fadeOut])^Table36[fadeOutExp]))</f>
        <v>0</v>
      </c>
      <c r="W50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463.4558823529411</v>
      </c>
      <c r="X50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463.4558823529411</v>
      </c>
      <c r="Y50" s="3">
        <f>ABS(Table15[[#This Row],[motor]]-Table15[[#This Row],[motorEco]])</f>
        <v>0</v>
      </c>
    </row>
    <row r="51" spans="1:25" x14ac:dyDescent="0.25">
      <c r="A51" s="3">
        <v>6250</v>
      </c>
      <c r="B51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51" s="20"/>
      <c r="D51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51" s="20"/>
      <c r="F51" s="3">
        <f>Table36[Factor]*IF(Table15[[#This Row],[manualData]]&gt;0,Table15[[#This Row],[manualData]],Table15[[#This Row],[rawData]])</f>
        <v>0</v>
      </c>
      <c r="G51" s="3">
        <f>Table36[Factor]*IF(Table15[[#This Row],[manDataEco]]&gt;0,Table15[[#This Row],[manDataEco]],Table15[[#This Row],[rawDataEco]])</f>
        <v>0</v>
      </c>
      <c r="H51" s="3">
        <f>1.36*Table15[[#This Row],[rpm]]*Table15[[#This Row],[motor]]/9550</f>
        <v>0</v>
      </c>
      <c r="I51" s="3">
        <f>1.36*Table15[[#This Row],[rpm]]*Table15[[#This Row],[motorEco]]/9550</f>
        <v>0</v>
      </c>
      <c r="J51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51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51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51" s="3">
        <f>(1-(1-Table15[[#This Row],[rpm]]/Table36[idleRpm])^2)*Table7[idleT]</f>
        <v>-59364.697265625</v>
      </c>
      <c r="N51" s="3">
        <f>MAX(0,(1-Table7[f1]*(Table36[maxTRpm1]-Table15[[#This Row],[rpm]])^2)*Table36[maxT])</f>
        <v>0</v>
      </c>
      <c r="O51" s="3">
        <f>MAX(0,(Table36[linearDown]*(1-Table7[f2]*(Table15[[#This Row],[rpm]]-Table36[maxTRpm]))+(1-Table36[linearDown])*(1-Table7[f3]*(Table15[[#This Row],[rpm]]-Table36[maxTRpm])^2))*Table36[maxT])</f>
        <v>0</v>
      </c>
      <c r="P51" s="3">
        <f>MAX(0,(Table36[maxPS]-Table7[f4]*(Table15[[#This Row],[rpm]]-Table36[maxPRpm])^2)/1.36*9550/MAX(1,Table15[[#This Row],[rpm]]))</f>
        <v>0</v>
      </c>
      <c r="Q51" s="3">
        <f>MAX(0,Table7[Nm2]*MIN(Table36[ratedRpm]/MAX(1,Table15[[#This Row],[rpm]]),1-(MAX(0,Table15[[#This Row],[rpm]]-Table36[ratedRpm])/Table36[fadeOut])^Table36[fadeOutExp]))</f>
        <v>0</v>
      </c>
      <c r="R51" s="3">
        <f>(1-(1-Table15[[#This Row],[rpm]]/Table36[idleRpm])^2)*Table7[idleTEco]</f>
        <v>-59364.697265625</v>
      </c>
      <c r="S51" s="3">
        <f>MAX(0,(1-Table7[f1]*(Table36[maxTRpm1]-Table15[[#This Row],[rpm]])^2)*Table36[maxTEco])</f>
        <v>0</v>
      </c>
      <c r="T51" s="3">
        <f>MAX(0,(Table36[linearDown]*(1-Table7[f2Eco]*(Table15[[#This Row],[rpm]]-Table36[maxTRpm]))+(1-Table36[linearDown])*(1-Table7[f3Eco]*(Table15[[#This Row],[rpm]]-Table36[maxTRpm])^2))*Table36[maxTEco])</f>
        <v>0</v>
      </c>
      <c r="U51" s="3">
        <f>MAX(0,(Table36[maxPSEco]-Table7[f4Eco]*(Table15[[#This Row],[rpm]]-Table36[maxPRpm])^2)/1.36*9550/MAX(1,Table15[[#This Row],[rpm]]))</f>
        <v>0</v>
      </c>
      <c r="V51" s="3">
        <f>MAX(0,Table7[Nm2Eco]*MIN(Table36[ratedRpm]/MAX(1,Table15[[#This Row],[rpm]]),1-(MAX(0,Table15[[#This Row],[rpm]]-Table36[ratedRpm])/Table36[fadeOut])^Table36[fadeOutExp]))</f>
        <v>0</v>
      </c>
      <c r="W51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444.91764705882349</v>
      </c>
      <c r="X51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444.91764705882349</v>
      </c>
      <c r="Y51" s="3">
        <f>ABS(Table15[[#This Row],[motor]]-Table15[[#This Row],[motorEco]])</f>
        <v>0</v>
      </c>
    </row>
    <row r="52" spans="1:25" x14ac:dyDescent="0.25">
      <c r="A52" s="3">
        <v>6500</v>
      </c>
      <c r="B52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52" s="20"/>
      <c r="D52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52" s="20"/>
      <c r="F52" s="3">
        <f>Table36[Factor]*IF(Table15[[#This Row],[manualData]]&gt;0,Table15[[#This Row],[manualData]],Table15[[#This Row],[rawData]])</f>
        <v>0</v>
      </c>
      <c r="G52" s="3">
        <f>Table36[Factor]*IF(Table15[[#This Row],[manDataEco]]&gt;0,Table15[[#This Row],[manDataEco]],Table15[[#This Row],[rawDataEco]])</f>
        <v>0</v>
      </c>
      <c r="H52" s="3">
        <f>1.36*Table15[[#This Row],[rpm]]*Table15[[#This Row],[motor]]/9550</f>
        <v>0</v>
      </c>
      <c r="I52" s="3">
        <f>1.36*Table15[[#This Row],[rpm]]*Table15[[#This Row],[motorEco]]/9550</f>
        <v>0</v>
      </c>
      <c r="J52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52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52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52" s="3">
        <f>(1-(1-Table15[[#This Row],[rpm]]/Table36[idleRpm])^2)*Table7[idleT]</f>
        <v>-65058.6015625</v>
      </c>
      <c r="N52" s="3">
        <f>MAX(0,(1-Table7[f1]*(Table36[maxTRpm1]-Table15[[#This Row],[rpm]])^2)*Table36[maxT])</f>
        <v>0</v>
      </c>
      <c r="O52" s="3">
        <f>MAX(0,(Table36[linearDown]*(1-Table7[f2]*(Table15[[#This Row],[rpm]]-Table36[maxTRpm]))+(1-Table36[linearDown])*(1-Table7[f3]*(Table15[[#This Row],[rpm]]-Table36[maxTRpm])^2))*Table36[maxT])</f>
        <v>0</v>
      </c>
      <c r="P52" s="3">
        <f>MAX(0,(Table36[maxPS]-Table7[f4]*(Table15[[#This Row],[rpm]]-Table36[maxPRpm])^2)/1.36*9550/MAX(1,Table15[[#This Row],[rpm]]))</f>
        <v>0</v>
      </c>
      <c r="Q52" s="3">
        <f>MAX(0,Table7[Nm2]*MIN(Table36[ratedRpm]/MAX(1,Table15[[#This Row],[rpm]]),1-(MAX(0,Table15[[#This Row],[rpm]]-Table36[ratedRpm])/Table36[fadeOut])^Table36[fadeOutExp]))</f>
        <v>0</v>
      </c>
      <c r="R52" s="3">
        <f>(1-(1-Table15[[#This Row],[rpm]]/Table36[idleRpm])^2)*Table7[idleTEco]</f>
        <v>-65058.6015625</v>
      </c>
      <c r="S52" s="3">
        <f>MAX(0,(1-Table7[f1]*(Table36[maxTRpm1]-Table15[[#This Row],[rpm]])^2)*Table36[maxTEco])</f>
        <v>0</v>
      </c>
      <c r="T52" s="3">
        <f>MAX(0,(Table36[linearDown]*(1-Table7[f2Eco]*(Table15[[#This Row],[rpm]]-Table36[maxTRpm]))+(1-Table36[linearDown])*(1-Table7[f3Eco]*(Table15[[#This Row],[rpm]]-Table36[maxTRpm])^2))*Table36[maxTEco])</f>
        <v>0</v>
      </c>
      <c r="U52" s="3">
        <f>MAX(0,(Table36[maxPSEco]-Table7[f4Eco]*(Table15[[#This Row],[rpm]]-Table36[maxPRpm])^2)/1.36*9550/MAX(1,Table15[[#This Row],[rpm]]))</f>
        <v>0</v>
      </c>
      <c r="V52" s="3">
        <f>MAX(0,Table7[Nm2Eco]*MIN(Table36[ratedRpm]/MAX(1,Table15[[#This Row],[rpm]]),1-(MAX(0,Table15[[#This Row],[rpm]]-Table36[ratedRpm])/Table36[fadeOut])^Table36[fadeOutExp]))</f>
        <v>0</v>
      </c>
      <c r="W52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427.80542986425337</v>
      </c>
      <c r="X52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427.80542986425337</v>
      </c>
      <c r="Y52" s="3">
        <f>ABS(Table15[[#This Row],[motor]]-Table15[[#This Row],[motorEco]])</f>
        <v>0</v>
      </c>
    </row>
    <row r="53" spans="1:25" x14ac:dyDescent="0.25">
      <c r="A53" s="3">
        <v>6750</v>
      </c>
      <c r="B53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53" s="20"/>
      <c r="D53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53" s="20"/>
      <c r="F53" s="3">
        <f>Table36[Factor]*IF(Table15[[#This Row],[manualData]]&gt;0,Table15[[#This Row],[manualData]],Table15[[#This Row],[rawData]])</f>
        <v>0</v>
      </c>
      <c r="G53" s="3">
        <f>Table36[Factor]*IF(Table15[[#This Row],[manDataEco]]&gt;0,Table15[[#This Row],[manDataEco]],Table15[[#This Row],[rawDataEco]])</f>
        <v>0</v>
      </c>
      <c r="H53" s="3">
        <f>1.36*Table15[[#This Row],[rpm]]*Table15[[#This Row],[motor]]/9550</f>
        <v>0</v>
      </c>
      <c r="I53" s="3">
        <f>1.36*Table15[[#This Row],[rpm]]*Table15[[#This Row],[motorEco]]/9550</f>
        <v>0</v>
      </c>
      <c r="J53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53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53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53" s="3">
        <f>(1-(1-Table15[[#This Row],[rpm]]/Table36[idleRpm])^2)*Table7[idleT]</f>
        <v>-71007.837890625</v>
      </c>
      <c r="N53" s="3">
        <f>MAX(0,(1-Table7[f1]*(Table36[maxTRpm1]-Table15[[#This Row],[rpm]])^2)*Table36[maxT])</f>
        <v>0</v>
      </c>
      <c r="O53" s="3">
        <f>MAX(0,(Table36[linearDown]*(1-Table7[f2]*(Table15[[#This Row],[rpm]]-Table36[maxTRpm]))+(1-Table36[linearDown])*(1-Table7[f3]*(Table15[[#This Row],[rpm]]-Table36[maxTRpm])^2))*Table36[maxT])</f>
        <v>0</v>
      </c>
      <c r="P53" s="3">
        <f>MAX(0,(Table36[maxPS]-Table7[f4]*(Table15[[#This Row],[rpm]]-Table36[maxPRpm])^2)/1.36*9550/MAX(1,Table15[[#This Row],[rpm]]))</f>
        <v>0</v>
      </c>
      <c r="Q53" s="3">
        <f>MAX(0,Table7[Nm2]*MIN(Table36[ratedRpm]/MAX(1,Table15[[#This Row],[rpm]]),1-(MAX(0,Table15[[#This Row],[rpm]]-Table36[ratedRpm])/Table36[fadeOut])^Table36[fadeOutExp]))</f>
        <v>0</v>
      </c>
      <c r="R53" s="3">
        <f>(1-(1-Table15[[#This Row],[rpm]]/Table36[idleRpm])^2)*Table7[idleTEco]</f>
        <v>-71007.837890625</v>
      </c>
      <c r="S53" s="3">
        <f>MAX(0,(1-Table7[f1]*(Table36[maxTRpm1]-Table15[[#This Row],[rpm]])^2)*Table36[maxTEco])</f>
        <v>0</v>
      </c>
      <c r="T53" s="3">
        <f>MAX(0,(Table36[linearDown]*(1-Table7[f2Eco]*(Table15[[#This Row],[rpm]]-Table36[maxTRpm]))+(1-Table36[linearDown])*(1-Table7[f3Eco]*(Table15[[#This Row],[rpm]]-Table36[maxTRpm])^2))*Table36[maxTEco])</f>
        <v>0</v>
      </c>
      <c r="U53" s="3">
        <f>MAX(0,(Table36[maxPSEco]-Table7[f4Eco]*(Table15[[#This Row],[rpm]]-Table36[maxPRpm])^2)/1.36*9550/MAX(1,Table15[[#This Row],[rpm]]))</f>
        <v>0</v>
      </c>
      <c r="V53" s="3">
        <f>MAX(0,Table7[Nm2Eco]*MIN(Table36[ratedRpm]/MAX(1,Table15[[#This Row],[rpm]]),1-(MAX(0,Table15[[#This Row],[rpm]]-Table36[ratedRpm])/Table36[fadeOut])^Table36[fadeOutExp]))</f>
        <v>0</v>
      </c>
      <c r="W53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411.96078431372547</v>
      </c>
      <c r="X53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411.96078431372547</v>
      </c>
      <c r="Y53" s="3">
        <f>ABS(Table15[[#This Row],[motor]]-Table15[[#This Row],[motorEco]])</f>
        <v>0</v>
      </c>
    </row>
    <row r="54" spans="1:25" x14ac:dyDescent="0.25">
      <c r="A54" s="3">
        <v>7000</v>
      </c>
      <c r="B54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54" s="20"/>
      <c r="D54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54" s="20"/>
      <c r="F54" s="3">
        <f>Table36[Factor]*IF(Table15[[#This Row],[manualData]]&gt;0,Table15[[#This Row],[manualData]],Table15[[#This Row],[rawData]])</f>
        <v>0</v>
      </c>
      <c r="G54" s="3">
        <f>Table36[Factor]*IF(Table15[[#This Row],[manDataEco]]&gt;0,Table15[[#This Row],[manDataEco]],Table15[[#This Row],[rawDataEco]])</f>
        <v>0</v>
      </c>
      <c r="H54" s="3">
        <f>1.36*Table15[[#This Row],[rpm]]*Table15[[#This Row],[motor]]/9550</f>
        <v>0</v>
      </c>
      <c r="I54" s="3">
        <f>1.36*Table15[[#This Row],[rpm]]*Table15[[#This Row],[motorEco]]/9550</f>
        <v>0</v>
      </c>
      <c r="J54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54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54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54" s="3">
        <f>(1-(1-Table15[[#This Row],[rpm]]/Table36[idleRpm])^2)*Table7[idleT]</f>
        <v>-77212.40625</v>
      </c>
      <c r="N54" s="3">
        <f>MAX(0,(1-Table7[f1]*(Table36[maxTRpm1]-Table15[[#This Row],[rpm]])^2)*Table36[maxT])</f>
        <v>0</v>
      </c>
      <c r="O54" s="3">
        <f>MAX(0,(Table36[linearDown]*(1-Table7[f2]*(Table15[[#This Row],[rpm]]-Table36[maxTRpm]))+(1-Table36[linearDown])*(1-Table7[f3]*(Table15[[#This Row],[rpm]]-Table36[maxTRpm])^2))*Table36[maxT])</f>
        <v>0</v>
      </c>
      <c r="P54" s="3">
        <f>MAX(0,(Table36[maxPS]-Table7[f4]*(Table15[[#This Row],[rpm]]-Table36[maxPRpm])^2)/1.36*9550/MAX(1,Table15[[#This Row],[rpm]]))</f>
        <v>0</v>
      </c>
      <c r="Q54" s="3">
        <f>MAX(0,Table7[Nm2]*MIN(Table36[ratedRpm]/MAX(1,Table15[[#This Row],[rpm]]),1-(MAX(0,Table15[[#This Row],[rpm]]-Table36[ratedRpm])/Table36[fadeOut])^Table36[fadeOutExp]))</f>
        <v>0</v>
      </c>
      <c r="R54" s="3">
        <f>(1-(1-Table15[[#This Row],[rpm]]/Table36[idleRpm])^2)*Table7[idleTEco]</f>
        <v>-77212.40625</v>
      </c>
      <c r="S54" s="3">
        <f>MAX(0,(1-Table7[f1]*(Table36[maxTRpm1]-Table15[[#This Row],[rpm]])^2)*Table36[maxTEco])</f>
        <v>0</v>
      </c>
      <c r="T54" s="3">
        <f>MAX(0,(Table36[linearDown]*(1-Table7[f2Eco]*(Table15[[#This Row],[rpm]]-Table36[maxTRpm]))+(1-Table36[linearDown])*(1-Table7[f3Eco]*(Table15[[#This Row],[rpm]]-Table36[maxTRpm])^2))*Table36[maxTEco])</f>
        <v>0</v>
      </c>
      <c r="U54" s="3">
        <f>MAX(0,(Table36[maxPSEco]-Table7[f4Eco]*(Table15[[#This Row],[rpm]]-Table36[maxPRpm])^2)/1.36*9550/MAX(1,Table15[[#This Row],[rpm]]))</f>
        <v>0</v>
      </c>
      <c r="V54" s="3">
        <f>MAX(0,Table7[Nm2Eco]*MIN(Table36[ratedRpm]/MAX(1,Table15[[#This Row],[rpm]]),1-(MAX(0,Table15[[#This Row],[rpm]]-Table36[ratedRpm])/Table36[fadeOut])^Table36[fadeOutExp]))</f>
        <v>0</v>
      </c>
      <c r="W54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397.2478991596638</v>
      </c>
      <c r="X54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397.2478991596638</v>
      </c>
      <c r="Y54" s="3">
        <f>ABS(Table15[[#This Row],[motor]]-Table15[[#This Row],[motorEco]])</f>
        <v>0</v>
      </c>
    </row>
    <row r="55" spans="1:25" x14ac:dyDescent="0.25">
      <c r="A55" s="3">
        <v>7250</v>
      </c>
      <c r="B55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55" s="20"/>
      <c r="D55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55" s="20"/>
      <c r="F55" s="3">
        <f>Table36[Factor]*IF(Table15[[#This Row],[manualData]]&gt;0,Table15[[#This Row],[manualData]],Table15[[#This Row],[rawData]])</f>
        <v>0</v>
      </c>
      <c r="G55" s="3">
        <f>Table36[Factor]*IF(Table15[[#This Row],[manDataEco]]&gt;0,Table15[[#This Row],[manDataEco]],Table15[[#This Row],[rawDataEco]])</f>
        <v>0</v>
      </c>
      <c r="H55" s="3">
        <f>1.36*Table15[[#This Row],[rpm]]*Table15[[#This Row],[motor]]/9550</f>
        <v>0</v>
      </c>
      <c r="I55" s="3">
        <f>1.36*Table15[[#This Row],[rpm]]*Table15[[#This Row],[motorEco]]/9550</f>
        <v>0</v>
      </c>
      <c r="J55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55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55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55" s="3">
        <f>(1-(1-Table15[[#This Row],[rpm]]/Table36[idleRpm])^2)*Table7[idleT]</f>
        <v>-83672.306640625</v>
      </c>
      <c r="N55" s="3">
        <f>MAX(0,(1-Table7[f1]*(Table36[maxTRpm1]-Table15[[#This Row],[rpm]])^2)*Table36[maxT])</f>
        <v>0</v>
      </c>
      <c r="O55" s="3">
        <f>MAX(0,(Table36[linearDown]*(1-Table7[f2]*(Table15[[#This Row],[rpm]]-Table36[maxTRpm]))+(1-Table36[linearDown])*(1-Table7[f3]*(Table15[[#This Row],[rpm]]-Table36[maxTRpm])^2))*Table36[maxT])</f>
        <v>0</v>
      </c>
      <c r="P55" s="3">
        <f>MAX(0,(Table36[maxPS]-Table7[f4]*(Table15[[#This Row],[rpm]]-Table36[maxPRpm])^2)/1.36*9550/MAX(1,Table15[[#This Row],[rpm]]))</f>
        <v>0</v>
      </c>
      <c r="Q55" s="3">
        <f>MAX(0,Table7[Nm2]*MIN(Table36[ratedRpm]/MAX(1,Table15[[#This Row],[rpm]]),1-(MAX(0,Table15[[#This Row],[rpm]]-Table36[ratedRpm])/Table36[fadeOut])^Table36[fadeOutExp]))</f>
        <v>0</v>
      </c>
      <c r="R55" s="3">
        <f>(1-(1-Table15[[#This Row],[rpm]]/Table36[idleRpm])^2)*Table7[idleTEco]</f>
        <v>-83672.306640625</v>
      </c>
      <c r="S55" s="3">
        <f>MAX(0,(1-Table7[f1]*(Table36[maxTRpm1]-Table15[[#This Row],[rpm]])^2)*Table36[maxTEco])</f>
        <v>0</v>
      </c>
      <c r="T55" s="3">
        <f>MAX(0,(Table36[linearDown]*(1-Table7[f2Eco]*(Table15[[#This Row],[rpm]]-Table36[maxTRpm]))+(1-Table36[linearDown])*(1-Table7[f3Eco]*(Table15[[#This Row],[rpm]]-Table36[maxTRpm])^2))*Table36[maxTEco])</f>
        <v>0</v>
      </c>
      <c r="U55" s="3">
        <f>MAX(0,(Table36[maxPSEco]-Table7[f4Eco]*(Table15[[#This Row],[rpm]]-Table36[maxPRpm])^2)/1.36*9550/MAX(1,Table15[[#This Row],[rpm]]))</f>
        <v>0</v>
      </c>
      <c r="V55" s="3">
        <f>MAX(0,Table7[Nm2Eco]*MIN(Table36[ratedRpm]/MAX(1,Table15[[#This Row],[rpm]]),1-(MAX(0,Table15[[#This Row],[rpm]]-Table36[ratedRpm])/Table36[fadeOut])^Table36[fadeOutExp]))</f>
        <v>0</v>
      </c>
      <c r="W55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383.54969574036505</v>
      </c>
      <c r="X55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383.54969574036505</v>
      </c>
      <c r="Y55" s="3">
        <f>ABS(Table15[[#This Row],[motor]]-Table15[[#This Row],[motorEco]])</f>
        <v>0</v>
      </c>
    </row>
    <row r="56" spans="1:25" x14ac:dyDescent="0.25">
      <c r="A56" s="3">
        <v>7500</v>
      </c>
      <c r="B56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56" s="20"/>
      <c r="D56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56" s="20"/>
      <c r="F56" s="3">
        <f>Table36[Factor]*IF(Table15[[#This Row],[manualData]]&gt;0,Table15[[#This Row],[manualData]],Table15[[#This Row],[rawData]])</f>
        <v>0</v>
      </c>
      <c r="G56" s="3">
        <f>Table36[Factor]*IF(Table15[[#This Row],[manDataEco]]&gt;0,Table15[[#This Row],[manDataEco]],Table15[[#This Row],[rawDataEco]])</f>
        <v>0</v>
      </c>
      <c r="H56" s="3">
        <f>1.36*Table15[[#This Row],[rpm]]*Table15[[#This Row],[motor]]/9550</f>
        <v>0</v>
      </c>
      <c r="I56" s="3">
        <f>1.36*Table15[[#This Row],[rpm]]*Table15[[#This Row],[motorEco]]/9550</f>
        <v>0</v>
      </c>
      <c r="J56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56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56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56" s="3">
        <f>(1-(1-Table15[[#This Row],[rpm]]/Table36[idleRpm])^2)*Table7[idleT]</f>
        <v>-90387.5390625</v>
      </c>
      <c r="N56" s="3">
        <f>MAX(0,(1-Table7[f1]*(Table36[maxTRpm1]-Table15[[#This Row],[rpm]])^2)*Table36[maxT])</f>
        <v>0</v>
      </c>
      <c r="O56" s="3">
        <f>MAX(0,(Table36[linearDown]*(1-Table7[f2]*(Table15[[#This Row],[rpm]]-Table36[maxTRpm]))+(1-Table36[linearDown])*(1-Table7[f3]*(Table15[[#This Row],[rpm]]-Table36[maxTRpm])^2))*Table36[maxT])</f>
        <v>0</v>
      </c>
      <c r="P56" s="3">
        <f>MAX(0,(Table36[maxPS]-Table7[f4]*(Table15[[#This Row],[rpm]]-Table36[maxPRpm])^2)/1.36*9550/MAX(1,Table15[[#This Row],[rpm]]))</f>
        <v>0</v>
      </c>
      <c r="Q56" s="3">
        <f>MAX(0,Table7[Nm2]*MIN(Table36[ratedRpm]/MAX(1,Table15[[#This Row],[rpm]]),1-(MAX(0,Table15[[#This Row],[rpm]]-Table36[ratedRpm])/Table36[fadeOut])^Table36[fadeOutExp]))</f>
        <v>0</v>
      </c>
      <c r="R56" s="3">
        <f>(1-(1-Table15[[#This Row],[rpm]]/Table36[idleRpm])^2)*Table7[idleTEco]</f>
        <v>-90387.5390625</v>
      </c>
      <c r="S56" s="3">
        <f>MAX(0,(1-Table7[f1]*(Table36[maxTRpm1]-Table15[[#This Row],[rpm]])^2)*Table36[maxTEco])</f>
        <v>0</v>
      </c>
      <c r="T56" s="3">
        <f>MAX(0,(Table36[linearDown]*(1-Table7[f2Eco]*(Table15[[#This Row],[rpm]]-Table36[maxTRpm]))+(1-Table36[linearDown])*(1-Table7[f3Eco]*(Table15[[#This Row],[rpm]]-Table36[maxTRpm])^2))*Table36[maxTEco])</f>
        <v>0</v>
      </c>
      <c r="U56" s="3">
        <f>MAX(0,(Table36[maxPSEco]-Table7[f4Eco]*(Table15[[#This Row],[rpm]]-Table36[maxPRpm])^2)/1.36*9550/MAX(1,Table15[[#This Row],[rpm]]))</f>
        <v>0</v>
      </c>
      <c r="V56" s="3">
        <f>MAX(0,Table7[Nm2Eco]*MIN(Table36[ratedRpm]/MAX(1,Table15[[#This Row],[rpm]]),1-(MAX(0,Table15[[#This Row],[rpm]]-Table36[ratedRpm])/Table36[fadeOut])^Table36[fadeOutExp]))</f>
        <v>0</v>
      </c>
      <c r="W56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370.76470588235293</v>
      </c>
      <c r="X56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370.76470588235293</v>
      </c>
      <c r="Y56" s="3">
        <f>ABS(Table15[[#This Row],[motor]]-Table15[[#This Row],[motorEco]])</f>
        <v>0</v>
      </c>
    </row>
    <row r="57" spans="1:25" x14ac:dyDescent="0.25">
      <c r="A57" s="3">
        <v>7750</v>
      </c>
      <c r="B57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57" s="20"/>
      <c r="D57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57" s="20"/>
      <c r="F57" s="3">
        <f>Table36[Factor]*IF(Table15[[#This Row],[manualData]]&gt;0,Table15[[#This Row],[manualData]],Table15[[#This Row],[rawData]])</f>
        <v>0</v>
      </c>
      <c r="G57" s="3">
        <f>Table36[Factor]*IF(Table15[[#This Row],[manDataEco]]&gt;0,Table15[[#This Row],[manDataEco]],Table15[[#This Row],[rawDataEco]])</f>
        <v>0</v>
      </c>
      <c r="H57" s="3">
        <f>1.36*Table15[[#This Row],[rpm]]*Table15[[#This Row],[motor]]/9550</f>
        <v>0</v>
      </c>
      <c r="I57" s="3">
        <f>1.36*Table15[[#This Row],[rpm]]*Table15[[#This Row],[motorEco]]/9550</f>
        <v>0</v>
      </c>
      <c r="J57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57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57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57" s="3">
        <f>(1-(1-Table15[[#This Row],[rpm]]/Table36[idleRpm])^2)*Table7[idleT]</f>
        <v>-97358.103515625</v>
      </c>
      <c r="N57" s="3">
        <f>MAX(0,(1-Table7[f1]*(Table36[maxTRpm1]-Table15[[#This Row],[rpm]])^2)*Table36[maxT])</f>
        <v>0</v>
      </c>
      <c r="O57" s="3">
        <f>MAX(0,(Table36[linearDown]*(1-Table7[f2]*(Table15[[#This Row],[rpm]]-Table36[maxTRpm]))+(1-Table36[linearDown])*(1-Table7[f3]*(Table15[[#This Row],[rpm]]-Table36[maxTRpm])^2))*Table36[maxT])</f>
        <v>0</v>
      </c>
      <c r="P57" s="3">
        <f>MAX(0,(Table36[maxPS]-Table7[f4]*(Table15[[#This Row],[rpm]]-Table36[maxPRpm])^2)/1.36*9550/MAX(1,Table15[[#This Row],[rpm]]))</f>
        <v>0</v>
      </c>
      <c r="Q57" s="3">
        <f>MAX(0,Table7[Nm2]*MIN(Table36[ratedRpm]/MAX(1,Table15[[#This Row],[rpm]]),1-(MAX(0,Table15[[#This Row],[rpm]]-Table36[ratedRpm])/Table36[fadeOut])^Table36[fadeOutExp]))</f>
        <v>0</v>
      </c>
      <c r="R57" s="3">
        <f>(1-(1-Table15[[#This Row],[rpm]]/Table36[idleRpm])^2)*Table7[idleTEco]</f>
        <v>-97358.103515625</v>
      </c>
      <c r="S57" s="3">
        <f>MAX(0,(1-Table7[f1]*(Table36[maxTRpm1]-Table15[[#This Row],[rpm]])^2)*Table36[maxTEco])</f>
        <v>0</v>
      </c>
      <c r="T57" s="3">
        <f>MAX(0,(Table36[linearDown]*(1-Table7[f2Eco]*(Table15[[#This Row],[rpm]]-Table36[maxTRpm]))+(1-Table36[linearDown])*(1-Table7[f3Eco]*(Table15[[#This Row],[rpm]]-Table36[maxTRpm])^2))*Table36[maxTEco])</f>
        <v>0</v>
      </c>
      <c r="U57" s="3">
        <f>MAX(0,(Table36[maxPSEco]-Table7[f4Eco]*(Table15[[#This Row],[rpm]]-Table36[maxPRpm])^2)/1.36*9550/MAX(1,Table15[[#This Row],[rpm]]))</f>
        <v>0</v>
      </c>
      <c r="V57" s="3">
        <f>MAX(0,Table7[Nm2Eco]*MIN(Table36[ratedRpm]/MAX(1,Table15[[#This Row],[rpm]]),1-(MAX(0,Table15[[#This Row],[rpm]]-Table36[ratedRpm])/Table36[fadeOut])^Table36[fadeOutExp]))</f>
        <v>0</v>
      </c>
      <c r="W57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358.80455407969635</v>
      </c>
      <c r="X57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358.80455407969635</v>
      </c>
      <c r="Y57" s="3">
        <f>ABS(Table15[[#This Row],[motor]]-Table15[[#This Row],[motorEco]])</f>
        <v>0</v>
      </c>
    </row>
    <row r="58" spans="1:25" x14ac:dyDescent="0.25">
      <c r="A58" s="3">
        <v>8000</v>
      </c>
      <c r="B58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58" s="20"/>
      <c r="D58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58" s="20"/>
      <c r="F58" s="3">
        <f>Table36[Factor]*IF(Table15[[#This Row],[manualData]]&gt;0,Table15[[#This Row],[manualData]],Table15[[#This Row],[rawData]])</f>
        <v>0</v>
      </c>
      <c r="G58" s="3">
        <f>Table36[Factor]*IF(Table15[[#This Row],[manDataEco]]&gt;0,Table15[[#This Row],[manDataEco]],Table15[[#This Row],[rawDataEco]])</f>
        <v>0</v>
      </c>
      <c r="H58" s="3">
        <f>1.36*Table15[[#This Row],[rpm]]*Table15[[#This Row],[motor]]/9550</f>
        <v>0</v>
      </c>
      <c r="I58" s="3">
        <f>1.36*Table15[[#This Row],[rpm]]*Table15[[#This Row],[motorEco]]/9550</f>
        <v>0</v>
      </c>
      <c r="J58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58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58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58" s="3">
        <f>(1-(1-Table15[[#This Row],[rpm]]/Table36[idleRpm])^2)*Table7[idleT]</f>
        <v>-104584</v>
      </c>
      <c r="N58" s="3">
        <f>MAX(0,(1-Table7[f1]*(Table36[maxTRpm1]-Table15[[#This Row],[rpm]])^2)*Table36[maxT])</f>
        <v>0</v>
      </c>
      <c r="O58" s="3">
        <f>MAX(0,(Table36[linearDown]*(1-Table7[f2]*(Table15[[#This Row],[rpm]]-Table36[maxTRpm]))+(1-Table36[linearDown])*(1-Table7[f3]*(Table15[[#This Row],[rpm]]-Table36[maxTRpm])^2))*Table36[maxT])</f>
        <v>0</v>
      </c>
      <c r="P58" s="3">
        <f>MAX(0,(Table36[maxPS]-Table7[f4]*(Table15[[#This Row],[rpm]]-Table36[maxPRpm])^2)/1.36*9550/MAX(1,Table15[[#This Row],[rpm]]))</f>
        <v>0</v>
      </c>
      <c r="Q58" s="3">
        <f>MAX(0,Table7[Nm2]*MIN(Table36[ratedRpm]/MAX(1,Table15[[#This Row],[rpm]]),1-(MAX(0,Table15[[#This Row],[rpm]]-Table36[ratedRpm])/Table36[fadeOut])^Table36[fadeOutExp]))</f>
        <v>0</v>
      </c>
      <c r="R58" s="3">
        <f>(1-(1-Table15[[#This Row],[rpm]]/Table36[idleRpm])^2)*Table7[idleTEco]</f>
        <v>-104584</v>
      </c>
      <c r="S58" s="3">
        <f>MAX(0,(1-Table7[f1]*(Table36[maxTRpm1]-Table15[[#This Row],[rpm]])^2)*Table36[maxTEco])</f>
        <v>0</v>
      </c>
      <c r="T58" s="3">
        <f>MAX(0,(Table36[linearDown]*(1-Table7[f2Eco]*(Table15[[#This Row],[rpm]]-Table36[maxTRpm]))+(1-Table36[linearDown])*(1-Table7[f3Eco]*(Table15[[#This Row],[rpm]]-Table36[maxTRpm])^2))*Table36[maxTEco])</f>
        <v>0</v>
      </c>
      <c r="U58" s="3">
        <f>MAX(0,(Table36[maxPSEco]-Table7[f4Eco]*(Table15[[#This Row],[rpm]]-Table36[maxPRpm])^2)/1.36*9550/MAX(1,Table15[[#This Row],[rpm]]))</f>
        <v>0</v>
      </c>
      <c r="V58" s="3">
        <f>MAX(0,Table7[Nm2Eco]*MIN(Table36[ratedRpm]/MAX(1,Table15[[#This Row],[rpm]]),1-(MAX(0,Table15[[#This Row],[rpm]]-Table36[ratedRpm])/Table36[fadeOut])^Table36[fadeOutExp]))</f>
        <v>0</v>
      </c>
      <c r="W58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347.59191176470586</v>
      </c>
      <c r="X58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347.59191176470586</v>
      </c>
      <c r="Y58" s="3">
        <f>ABS(Table15[[#This Row],[motor]]-Table15[[#This Row],[motorEco]])</f>
        <v>0</v>
      </c>
    </row>
    <row r="59" spans="1:25" x14ac:dyDescent="0.25">
      <c r="A59" s="3">
        <v>8250</v>
      </c>
      <c r="B59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59" s="20"/>
      <c r="D59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59" s="20"/>
      <c r="F59" s="3">
        <f>Table36[Factor]*IF(Table15[[#This Row],[manualData]]&gt;0,Table15[[#This Row],[manualData]],Table15[[#This Row],[rawData]])</f>
        <v>0</v>
      </c>
      <c r="G59" s="3">
        <f>Table36[Factor]*IF(Table15[[#This Row],[manDataEco]]&gt;0,Table15[[#This Row],[manDataEco]],Table15[[#This Row],[rawDataEco]])</f>
        <v>0</v>
      </c>
      <c r="H59" s="3">
        <f>1.36*Table15[[#This Row],[rpm]]*Table15[[#This Row],[motor]]/9550</f>
        <v>0</v>
      </c>
      <c r="I59" s="3">
        <f>1.36*Table15[[#This Row],[rpm]]*Table15[[#This Row],[motorEco]]/9550</f>
        <v>0</v>
      </c>
      <c r="J59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59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59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59" s="3">
        <f>(1-(1-Table15[[#This Row],[rpm]]/Table36[idleRpm])^2)*Table7[idleT]</f>
        <v>-112065.228515625</v>
      </c>
      <c r="N59" s="3">
        <f>MAX(0,(1-Table7[f1]*(Table36[maxTRpm1]-Table15[[#This Row],[rpm]])^2)*Table36[maxT])</f>
        <v>0</v>
      </c>
      <c r="O59" s="3">
        <f>MAX(0,(Table36[linearDown]*(1-Table7[f2]*(Table15[[#This Row],[rpm]]-Table36[maxTRpm]))+(1-Table36[linearDown])*(1-Table7[f3]*(Table15[[#This Row],[rpm]]-Table36[maxTRpm])^2))*Table36[maxT])</f>
        <v>0</v>
      </c>
      <c r="P59" s="3">
        <f>MAX(0,(Table36[maxPS]-Table7[f4]*(Table15[[#This Row],[rpm]]-Table36[maxPRpm])^2)/1.36*9550/MAX(1,Table15[[#This Row],[rpm]]))</f>
        <v>0</v>
      </c>
      <c r="Q59" s="3">
        <f>MAX(0,Table7[Nm2]*MIN(Table36[ratedRpm]/MAX(1,Table15[[#This Row],[rpm]]),1-(MAX(0,Table15[[#This Row],[rpm]]-Table36[ratedRpm])/Table36[fadeOut])^Table36[fadeOutExp]))</f>
        <v>0</v>
      </c>
      <c r="R59" s="3">
        <f>(1-(1-Table15[[#This Row],[rpm]]/Table36[idleRpm])^2)*Table7[idleTEco]</f>
        <v>-112065.228515625</v>
      </c>
      <c r="S59" s="3">
        <f>MAX(0,(1-Table7[f1]*(Table36[maxTRpm1]-Table15[[#This Row],[rpm]])^2)*Table36[maxTEco])</f>
        <v>0</v>
      </c>
      <c r="T59" s="3">
        <f>MAX(0,(Table36[linearDown]*(1-Table7[f2Eco]*(Table15[[#This Row],[rpm]]-Table36[maxTRpm]))+(1-Table36[linearDown])*(1-Table7[f3Eco]*(Table15[[#This Row],[rpm]]-Table36[maxTRpm])^2))*Table36[maxTEco])</f>
        <v>0</v>
      </c>
      <c r="U59" s="3">
        <f>MAX(0,(Table36[maxPSEco]-Table7[f4Eco]*(Table15[[#This Row],[rpm]]-Table36[maxPRpm])^2)/1.36*9550/MAX(1,Table15[[#This Row],[rpm]]))</f>
        <v>0</v>
      </c>
      <c r="V59" s="3">
        <f>MAX(0,Table7[Nm2Eco]*MIN(Table36[ratedRpm]/MAX(1,Table15[[#This Row],[rpm]]),1-(MAX(0,Table15[[#This Row],[rpm]]-Table36[ratedRpm])/Table36[fadeOut])^Table36[fadeOutExp]))</f>
        <v>0</v>
      </c>
      <c r="W59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337.05882352941171</v>
      </c>
      <c r="X59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337.05882352941171</v>
      </c>
      <c r="Y59" s="3">
        <f>ABS(Table15[[#This Row],[motor]]-Table15[[#This Row],[motorEco]])</f>
        <v>0</v>
      </c>
    </row>
    <row r="60" spans="1:25" x14ac:dyDescent="0.25">
      <c r="A60" s="3">
        <v>8500</v>
      </c>
      <c r="B60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60" s="20"/>
      <c r="D60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60" s="20"/>
      <c r="F60" s="3">
        <f>Table36[Factor]*IF(Table15[[#This Row],[manualData]]&gt;0,Table15[[#This Row],[manualData]],Table15[[#This Row],[rawData]])</f>
        <v>0</v>
      </c>
      <c r="G60" s="3">
        <f>Table36[Factor]*IF(Table15[[#This Row],[manDataEco]]&gt;0,Table15[[#This Row],[manDataEco]],Table15[[#This Row],[rawDataEco]])</f>
        <v>0</v>
      </c>
      <c r="H60" s="3">
        <f>1.36*Table15[[#This Row],[rpm]]*Table15[[#This Row],[motor]]/9550</f>
        <v>0</v>
      </c>
      <c r="I60" s="3">
        <f>1.36*Table15[[#This Row],[rpm]]*Table15[[#This Row],[motorEco]]/9550</f>
        <v>0</v>
      </c>
      <c r="J60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60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60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60" s="3">
        <f>(1-(1-Table15[[#This Row],[rpm]]/Table36[idleRpm])^2)*Table7[idleT]</f>
        <v>-119801.7890625</v>
      </c>
      <c r="N60" s="3">
        <f>MAX(0,(1-Table7[f1]*(Table36[maxTRpm1]-Table15[[#This Row],[rpm]])^2)*Table36[maxT])</f>
        <v>0</v>
      </c>
      <c r="O60" s="3">
        <f>MAX(0,(Table36[linearDown]*(1-Table7[f2]*(Table15[[#This Row],[rpm]]-Table36[maxTRpm]))+(1-Table36[linearDown])*(1-Table7[f3]*(Table15[[#This Row],[rpm]]-Table36[maxTRpm])^2))*Table36[maxT])</f>
        <v>0</v>
      </c>
      <c r="P60" s="3">
        <f>MAX(0,(Table36[maxPS]-Table7[f4]*(Table15[[#This Row],[rpm]]-Table36[maxPRpm])^2)/1.36*9550/MAX(1,Table15[[#This Row],[rpm]]))</f>
        <v>0</v>
      </c>
      <c r="Q60" s="3">
        <f>MAX(0,Table7[Nm2]*MIN(Table36[ratedRpm]/MAX(1,Table15[[#This Row],[rpm]]),1-(MAX(0,Table15[[#This Row],[rpm]]-Table36[ratedRpm])/Table36[fadeOut])^Table36[fadeOutExp]))</f>
        <v>0</v>
      </c>
      <c r="R60" s="3">
        <f>(1-(1-Table15[[#This Row],[rpm]]/Table36[idleRpm])^2)*Table7[idleTEco]</f>
        <v>-119801.7890625</v>
      </c>
      <c r="S60" s="3">
        <f>MAX(0,(1-Table7[f1]*(Table36[maxTRpm1]-Table15[[#This Row],[rpm]])^2)*Table36[maxTEco])</f>
        <v>0</v>
      </c>
      <c r="T60" s="3">
        <f>MAX(0,(Table36[linearDown]*(1-Table7[f2Eco]*(Table15[[#This Row],[rpm]]-Table36[maxTRpm]))+(1-Table36[linearDown])*(1-Table7[f3Eco]*(Table15[[#This Row],[rpm]]-Table36[maxTRpm])^2))*Table36[maxTEco])</f>
        <v>0</v>
      </c>
      <c r="U60" s="3">
        <f>MAX(0,(Table36[maxPSEco]-Table7[f4Eco]*(Table15[[#This Row],[rpm]]-Table36[maxPRpm])^2)/1.36*9550/MAX(1,Table15[[#This Row],[rpm]]))</f>
        <v>0</v>
      </c>
      <c r="V60" s="3">
        <f>MAX(0,Table7[Nm2Eco]*MIN(Table36[ratedRpm]/MAX(1,Table15[[#This Row],[rpm]]),1-(MAX(0,Table15[[#This Row],[rpm]]-Table36[ratedRpm])/Table36[fadeOut])^Table36[fadeOutExp]))</f>
        <v>0</v>
      </c>
      <c r="W60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327.14532871972312</v>
      </c>
      <c r="X60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327.14532871972312</v>
      </c>
      <c r="Y60" s="3">
        <f>ABS(Table15[[#This Row],[motor]]-Table15[[#This Row],[motorEco]])</f>
        <v>0</v>
      </c>
    </row>
    <row r="61" spans="1:25" x14ac:dyDescent="0.25">
      <c r="A61" s="3">
        <v>8750</v>
      </c>
      <c r="B61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61" s="20"/>
      <c r="D61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61" s="20"/>
      <c r="F61" s="3">
        <f>Table36[Factor]*IF(Table15[[#This Row],[manualData]]&gt;0,Table15[[#This Row],[manualData]],Table15[[#This Row],[rawData]])</f>
        <v>0</v>
      </c>
      <c r="G61" s="3">
        <f>Table36[Factor]*IF(Table15[[#This Row],[manDataEco]]&gt;0,Table15[[#This Row],[manDataEco]],Table15[[#This Row],[rawDataEco]])</f>
        <v>0</v>
      </c>
      <c r="H61" s="3">
        <f>1.36*Table15[[#This Row],[rpm]]*Table15[[#This Row],[motor]]/9550</f>
        <v>0</v>
      </c>
      <c r="I61" s="3">
        <f>1.36*Table15[[#This Row],[rpm]]*Table15[[#This Row],[motorEco]]/9550</f>
        <v>0</v>
      </c>
      <c r="J61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61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61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61" s="3">
        <f>(1-(1-Table15[[#This Row],[rpm]]/Table36[idleRpm])^2)*Table7[idleT]</f>
        <v>-127793.681640625</v>
      </c>
      <c r="N61" s="3">
        <f>MAX(0,(1-Table7[f1]*(Table36[maxTRpm1]-Table15[[#This Row],[rpm]])^2)*Table36[maxT])</f>
        <v>0</v>
      </c>
      <c r="O61" s="3">
        <f>MAX(0,(Table36[linearDown]*(1-Table7[f2]*(Table15[[#This Row],[rpm]]-Table36[maxTRpm]))+(1-Table36[linearDown])*(1-Table7[f3]*(Table15[[#This Row],[rpm]]-Table36[maxTRpm])^2))*Table36[maxT])</f>
        <v>0</v>
      </c>
      <c r="P61" s="3">
        <f>MAX(0,(Table36[maxPS]-Table7[f4]*(Table15[[#This Row],[rpm]]-Table36[maxPRpm])^2)/1.36*9550/MAX(1,Table15[[#This Row],[rpm]]))</f>
        <v>0</v>
      </c>
      <c r="Q61" s="3">
        <f>MAX(0,Table7[Nm2]*MIN(Table36[ratedRpm]/MAX(1,Table15[[#This Row],[rpm]]),1-(MAX(0,Table15[[#This Row],[rpm]]-Table36[ratedRpm])/Table36[fadeOut])^Table36[fadeOutExp]))</f>
        <v>0</v>
      </c>
      <c r="R61" s="3">
        <f>(1-(1-Table15[[#This Row],[rpm]]/Table36[idleRpm])^2)*Table7[idleTEco]</f>
        <v>-127793.681640625</v>
      </c>
      <c r="S61" s="3">
        <f>MAX(0,(1-Table7[f1]*(Table36[maxTRpm1]-Table15[[#This Row],[rpm]])^2)*Table36[maxTEco])</f>
        <v>0</v>
      </c>
      <c r="T61" s="3">
        <f>MAX(0,(Table36[linearDown]*(1-Table7[f2Eco]*(Table15[[#This Row],[rpm]]-Table36[maxTRpm]))+(1-Table36[linearDown])*(1-Table7[f3Eco]*(Table15[[#This Row],[rpm]]-Table36[maxTRpm])^2))*Table36[maxTEco])</f>
        <v>0</v>
      </c>
      <c r="U61" s="3">
        <f>MAX(0,(Table36[maxPSEco]-Table7[f4Eco]*(Table15[[#This Row],[rpm]]-Table36[maxPRpm])^2)/1.36*9550/MAX(1,Table15[[#This Row],[rpm]]))</f>
        <v>0</v>
      </c>
      <c r="V61" s="3">
        <f>MAX(0,Table7[Nm2Eco]*MIN(Table36[ratedRpm]/MAX(1,Table15[[#This Row],[rpm]]),1-(MAX(0,Table15[[#This Row],[rpm]]-Table36[ratedRpm])/Table36[fadeOut])^Table36[fadeOutExp]))</f>
        <v>0</v>
      </c>
      <c r="W61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317.79831932773106</v>
      </c>
      <c r="X61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317.79831932773106</v>
      </c>
      <c r="Y61" s="3">
        <f>ABS(Table15[[#This Row],[motor]]-Table15[[#This Row],[motorEco]])</f>
        <v>0</v>
      </c>
    </row>
    <row r="62" spans="1:25" x14ac:dyDescent="0.25">
      <c r="A62" s="3">
        <v>9000</v>
      </c>
      <c r="B62" s="3">
        <f>MIN(Table15[[#This Row],[t6]],MAX(0,IF(Table15[[#This Row],[rpm]]&lt;Table36[idleRpm],(1-Table15[[#This Row],[rpm]]/Table36[idleRpm])*Table15[[#This Row],[t1]]+Table15[[#This Row],[rpm]]/Table36[idleRpm]*Table15[[#This Row],[t2]],IF(Table15[[#This Row],[rpm]]&gt;=Table36[maxPRpm],IF(Table15[[#This Row],[rpm]]&gt;Table36[ratedRpm],Table15[[#This Row],[t5]],Table15[[#This Row],[t4]]),IF(Table15[[#This Row],[rpm]]&lt;Table36[maxTRpm1],Table15[[#This Row],[t2]],IF(Table15[[#This Row],[rpm]]&gt;Table36[maxTRpm],Table15[[#This Row],[t3]],Table36[maxT]))))))</f>
        <v>0</v>
      </c>
      <c r="C62" s="20"/>
      <c r="D62" s="3">
        <f>MIN(Table15[[#This Row],[t6E]],MAX(0,IF(Table15[[#This Row],[rpm]]&lt;Table36[idleRpm],(1-Table15[[#This Row],[rpm]]/Table36[idleRpm])*Table15[[#This Row],[t1E]]+Table15[[#This Row],[rpm]]/Table36[idleRpm]*Table15[[#This Row],[t2E]],IF(Table15[[#This Row],[rpm]]&gt;=Table36[maxPRpm],IF(Table15[[#This Row],[rpm]]&gt;Table36[ratedRpm],Table15[[#This Row],[t5E]],Table15[[#This Row],[t4E]]),IF(Table15[[#This Row],[rpm]]&lt;Table36[maxTRpm1],Table15[[#This Row],[t2E]],IF(Table15[[#This Row],[rpm]]&gt;Table36[maxTRpm],Table15[[#This Row],[t3E]],Table36[maxTEco]))))))</f>
        <v>0</v>
      </c>
      <c r="E62" s="20"/>
      <c r="F62" s="3">
        <f>Table36[Factor]*IF(Table15[[#This Row],[manualData]]&gt;0,Table15[[#This Row],[manualData]],Table15[[#This Row],[rawData]])</f>
        <v>0</v>
      </c>
      <c r="G62" s="3">
        <f>Table36[Factor]*IF(Table15[[#This Row],[manDataEco]]&gt;0,Table15[[#This Row],[manDataEco]],Table15[[#This Row],[rawDataEco]])</f>
        <v>0</v>
      </c>
      <c r="H62" s="3">
        <f>1.36*Table15[[#This Row],[rpm]]*Table15[[#This Row],[motor]]/9550</f>
        <v>0</v>
      </c>
      <c r="I62" s="3">
        <f>1.36*Table15[[#This Row],[rpm]]*Table15[[#This Row],[motorEco]]/9550</f>
        <v>0</v>
      </c>
      <c r="J62" s="25">
        <f>IF(Table15[[#This Row],[rpm]]&lt;=Table36[fuelMinRpm],Table36[fuelMinRate]+(Table36[fuelIdleRate]-Table36[fuelMinRate])*((Table36[fuelMinRpm]-Table15[[#This Row],[rpm]])/(Table36[fuelMinRpm]-Table36[idleRpm]))^2,IF(Table15[[#This Row],[rpm]]&lt;=Table36[ratedRpm],Table36[fuelMinRate]+(Table36[fuelRatedRate]-Table36[fuelMinRate])*((Table15[[#This Row],[rpm]]-Table36[fuelMinRpm])/(Table36[ratedRpm]-Table36[fuelMinRpm]))^2,IF(Table15[[#This Row],[rpm]]&lt;=Table36[ratedRpm]+Table36[fadeOut],Table36[fuelRatedRate]+Table36[fuelRatedRate]*((Table15[[#This Row],[rpm]]-Table36[ratedRpm])/Table36[fadeOut])^2.5,Table36[fuelRatedRate]*2)))</f>
        <v>466.66666666666663</v>
      </c>
      <c r="K62" s="33" t="str">
        <f>IF(Table15[[#This Row],[rpm]]&gt;Table36[ratedRpm]+Table36[fadeOut]+99,"",IF(Table15[[#This Row],[rpm]]&lt;1,Table7[xmlComment],CONCATENATE("        &lt;torque rpm=""",Table15[[#This Row],[rpm]],""" motorTorque=""",ROUND(Table15[[#This Row],[motor]],0),"""",IF(Table7[maxDeltaEco]&gt;0.01,CONCATENATE(" motorTorqueEco=""",ROUND(Table15[[#This Row],[motorEco]],0),""""),"")," fuelUsageRatio=""",ROUND(Table15[[#This Row],[fuelUsageRatio]],1),"""/&gt;",CONCATENATE(IF(Table15[[#This Row],[manualData]]&gt;0,CONCATENATE("&lt;!-- manualData: ",Table15[[#This Row],[manualData]],"--&gt;"),""),IF(Table15[[#This Row],[manDataEco]]&gt;0,CONCATENATE("&lt;!-- manDataEco: ",Table15[[#This Row],[manDataEco]],"--&gt;"),"")))))</f>
        <v/>
      </c>
      <c r="L62" s="33" t="str">
        <f>IF(Table15[[#This Row],[rpm]]&gt;Table36[normRpm],"",IF(Table15[[#This Row],[rpm]]&lt;1,Table7[xmlComment],CONCATENATE("        &lt;torque normRpm=""",ROUND(Table15[[#This Row],[rpm]]/Table36[normRpm],3),""" torque=""",ROUND(Table15[[#This Row],[motor]]/MAX(Table15[motor]),3),"""/&gt;")))</f>
        <v/>
      </c>
      <c r="M62" s="3">
        <f>(1-(1-Table15[[#This Row],[rpm]]/Table36[idleRpm])^2)*Table7[idleT]</f>
        <v>-136040.90625</v>
      </c>
      <c r="N62" s="3">
        <f>MAX(0,(1-Table7[f1]*(Table36[maxTRpm1]-Table15[[#This Row],[rpm]])^2)*Table36[maxT])</f>
        <v>0</v>
      </c>
      <c r="O62" s="3">
        <f>MAX(0,(Table36[linearDown]*(1-Table7[f2]*(Table15[[#This Row],[rpm]]-Table36[maxTRpm]))+(1-Table36[linearDown])*(1-Table7[f3]*(Table15[[#This Row],[rpm]]-Table36[maxTRpm])^2))*Table36[maxT])</f>
        <v>0</v>
      </c>
      <c r="P62" s="3">
        <f>MAX(0,(Table36[maxPS]-Table7[f4]*(Table15[[#This Row],[rpm]]-Table36[maxPRpm])^2)/1.36*9550/MAX(1,Table15[[#This Row],[rpm]]))</f>
        <v>0</v>
      </c>
      <c r="Q62" s="3">
        <f>MAX(0,Table7[Nm2]*MIN(Table36[ratedRpm]/MAX(1,Table15[[#This Row],[rpm]]),1-(MAX(0,Table15[[#This Row],[rpm]]-Table36[ratedRpm])/Table36[fadeOut])^Table36[fadeOutExp]))</f>
        <v>0</v>
      </c>
      <c r="R62" s="3">
        <f>(1-(1-Table15[[#This Row],[rpm]]/Table36[idleRpm])^2)*Table7[idleTEco]</f>
        <v>-136040.90625</v>
      </c>
      <c r="S62" s="3">
        <f>MAX(0,(1-Table7[f1]*(Table36[maxTRpm1]-Table15[[#This Row],[rpm]])^2)*Table36[maxTEco])</f>
        <v>0</v>
      </c>
      <c r="T62" s="3">
        <f>MAX(0,(Table36[linearDown]*(1-Table7[f2Eco]*(Table15[[#This Row],[rpm]]-Table36[maxTRpm]))+(1-Table36[linearDown])*(1-Table7[f3Eco]*(Table15[[#This Row],[rpm]]-Table36[maxTRpm])^2))*Table36[maxTEco])</f>
        <v>0</v>
      </c>
      <c r="U62" s="3">
        <f>MAX(0,(Table36[maxPSEco]-Table7[f4Eco]*(Table15[[#This Row],[rpm]]-Table36[maxPRpm])^2)/1.36*9550/MAX(1,Table15[[#This Row],[rpm]]))</f>
        <v>0</v>
      </c>
      <c r="V62" s="3">
        <f>MAX(0,Table7[Nm2Eco]*MIN(Table36[ratedRpm]/MAX(1,Table15[[#This Row],[rpm]]),1-(MAX(0,Table15[[#This Row],[rpm]]-Table36[ratedRpm])/Table36[fadeOut])^Table36[fadeOutExp]))</f>
        <v>0</v>
      </c>
      <c r="W62" s="3">
        <f>IF(Table15[[#This Row],[rpm]]&lt;=0,0,IF(Table15[[#This Row],[rpm]]&lt;=Table36[maxPRpm],Table36[maxPS]/1.36*9550/Table15[[#This Row],[rpm]]*(Table36[maxPSRpmRate]*Table15[[#This Row],[rpm]]/Table36[maxPRpm]+1-Table36[maxPSRpmRate]),MAX(Table36[maxPS],Table36[PS])/1.36*9550/Table15[[#This Row],[rpm]]))</f>
        <v>308.97058823529409</v>
      </c>
      <c r="X62" s="3">
        <f>IF(Table15[[#This Row],[rpm]]&lt;=0,0,IF(Table15[[#This Row],[rpm]]&lt;=Table36[maxPRpm],Table36[maxPSEco]/1.36*9550/Table15[[#This Row],[rpm]]*(Table36[maxPSRpmRate]*Table15[[#This Row],[rpm]]/Table36[maxPRpm]+1-Table36[maxPSRpmRate]),MAX(Table36[maxPSEco],Table36[PSEco])/1.36*9550/Table15[[#This Row],[rpm]]))</f>
        <v>308.97058823529409</v>
      </c>
      <c r="Y62" s="3">
        <f>ABS(Table15[[#This Row],[motor]]-Table15[[#This Row],[motorEco]])</f>
        <v>0</v>
      </c>
    </row>
  </sheetData>
  <conditionalFormatting sqref="I7:I25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{E1C56E9C-EE7A-4A8D-B0DC-E752B34F8D7C}</x14:id>
        </ext>
      </extLst>
    </cfRule>
  </conditionalFormatting>
  <conditionalFormatting sqref="F7:G25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{38D9AB0E-4856-4112-B342-A97DADB3E4E7}</x14:id>
        </ext>
      </extLst>
    </cfRule>
  </conditionalFormatting>
  <conditionalFormatting sqref="H7:H62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{16AE14AC-497A-431B-A55E-276DD076547C}</x14:id>
        </ext>
      </extLst>
    </cfRule>
  </conditionalFormatting>
  <conditionalFormatting sqref="H7:I62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{DC5EE46E-370E-4713-8616-D3D113139AC2}</x14:id>
        </ext>
      </extLst>
    </cfRule>
  </conditionalFormatting>
  <conditionalFormatting sqref="F7:G62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{98050814-2C89-45D9-81C5-8AFF6038F3C7}</x14:id>
        </ext>
      </extLst>
    </cfRule>
  </conditionalFormatting>
  <conditionalFormatting sqref="J7:J62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{43DDCF38-9659-4E25-8C46-2A3E5E72C923}</x14:id>
        </ext>
      </extLst>
    </cfRule>
  </conditionalFormatting>
  <conditionalFormatting sqref="I2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{E2BB9A79-62A0-422A-B3E3-E4E54A57965C}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1C56E9C-EE7A-4A8D-B0DC-E752B34F8D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I7:I25</xm:sqref>
        </x14:conditionalFormatting>
        <x14:conditionalFormatting xmlns:xm="http://schemas.microsoft.com/office/excel/2006/main">
          <x14:cfRule type="dataBar" id="{38D9AB0E-4856-4112-B342-A97DADB3E4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F7:G25</xm:sqref>
        </x14:conditionalFormatting>
        <x14:conditionalFormatting xmlns:xm="http://schemas.microsoft.com/office/excel/2006/main">
          <x14:cfRule type="dataBar" id="{16AE14AC-497A-431B-A55E-276DD07654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H7:H62</xm:sqref>
        </x14:conditionalFormatting>
        <x14:conditionalFormatting xmlns:xm="http://schemas.microsoft.com/office/excel/2006/main">
          <x14:cfRule type="dataBar" id="{DC5EE46E-370E-4713-8616-D3D113139A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H7:I62</xm:sqref>
        </x14:conditionalFormatting>
        <x14:conditionalFormatting xmlns:xm="http://schemas.microsoft.com/office/excel/2006/main">
          <x14:cfRule type="dataBar" id="{98050814-2C89-45D9-81C5-8AFF6038F3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F7:G62</xm:sqref>
        </x14:conditionalFormatting>
        <x14:conditionalFormatting xmlns:xm="http://schemas.microsoft.com/office/excel/2006/main">
          <x14:cfRule type="dataBar" id="{43DDCF38-9659-4E25-8C46-2A3E5E72C9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J7:J62</xm:sqref>
        </x14:conditionalFormatting>
        <x14:conditionalFormatting xmlns:xm="http://schemas.microsoft.com/office/excel/2006/main">
          <x14:cfRule type="dataBar" id="{E2BB9A79-62A0-422A-B3E3-E4E54A5796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2"/>
  <sheetViews>
    <sheetView workbookViewId="0">
      <selection activeCell="G2" sqref="G2:G17"/>
    </sheetView>
  </sheetViews>
  <sheetFormatPr defaultRowHeight="15" x14ac:dyDescent="0.25"/>
  <cols>
    <col min="2" max="2" width="11.85546875" customWidth="1"/>
    <col min="7" max="7" width="13.28515625" customWidth="1"/>
    <col min="8" max="8" width="16.140625" customWidth="1"/>
  </cols>
  <sheetData>
    <row r="1" spans="1:8" x14ac:dyDescent="0.25">
      <c r="A1" t="s">
        <v>0</v>
      </c>
      <c r="B1" t="s">
        <v>5</v>
      </c>
      <c r="C1" t="s">
        <v>2</v>
      </c>
      <c r="D1" t="s">
        <v>6</v>
      </c>
      <c r="E1" t="s">
        <v>1</v>
      </c>
      <c r="F1" t="s">
        <v>4</v>
      </c>
      <c r="G1" t="s">
        <v>3</v>
      </c>
      <c r="H1" t="s">
        <v>9</v>
      </c>
    </row>
    <row r="2" spans="1:8" x14ac:dyDescent="0.25">
      <c r="A2">
        <v>800</v>
      </c>
      <c r="B2">
        <v>2600</v>
      </c>
      <c r="C2">
        <f>$A$22*Table1[[#This Row],[rawData]]</f>
        <v>2444</v>
      </c>
      <c r="D2" s="1">
        <f>A2*C2/9550</f>
        <v>204.73298429319371</v>
      </c>
      <c r="E2" s="1">
        <f>Table1[[#This Row],[kw_pto]]*1.36/0.94</f>
        <v>296.20942408376965</v>
      </c>
      <c r="F2">
        <f t="shared" ref="F2" si="0">C2/0.94</f>
        <v>2600</v>
      </c>
      <c r="G2" s="1" t="str">
        <f>CONCATENATE("&lt;torque rpm=""",Table1[[#This Row],[rpm]],""" motorTorque=""",ROUND(Table1[[#This Row],[motor]],0),"""/&gt;")</f>
        <v>&lt;torque rpm="800" motorTorque="2600"/&gt;</v>
      </c>
      <c r="H2" s="1" t="str">
        <f>CONCATENATE("&lt;torque normRpm=""",ROUND(Table1[[#This Row],[rpm]]/Table3[ratedRpm],3),""" torque=""",ROUND(Table1[[#This Row],[motor]]/MAX(Table1[motor]),3),"""/&gt;")</f>
        <v>&lt;torque normRpm="0.381" torque="0.884"/&gt;</v>
      </c>
    </row>
    <row r="3" spans="1:8" x14ac:dyDescent="0.25">
      <c r="A3">
        <v>900</v>
      </c>
      <c r="B3">
        <v>2730</v>
      </c>
      <c r="C3">
        <f>$A$22*Table1[[#This Row],[rawData]]</f>
        <v>2566.1999999999998</v>
      </c>
      <c r="D3" s="1">
        <f>A3*C3/9550</f>
        <v>241.84083769633509</v>
      </c>
      <c r="E3" s="1">
        <f>Table1[[#This Row],[kw_pto]]*1.36/0.94</f>
        <v>349.89738219895293</v>
      </c>
      <c r="F3">
        <f t="shared" ref="F3:F18" si="1">C3/0.94</f>
        <v>2730</v>
      </c>
      <c r="G3" s="1" t="str">
        <f>CONCATENATE("&lt;torque rpm=""",Table1[[#This Row],[rpm]],""" motorTorque=""",ROUND(Table1[[#This Row],[motor]],0),"""/&gt;")</f>
        <v>&lt;torque rpm="900" motorTorque="2730"/&gt;</v>
      </c>
      <c r="H3" s="1" t="str">
        <f>CONCATENATE("&lt;torque normRpm=""",ROUND(Table1[[#This Row],[rpm]]/Table3[ratedRpm],3),""" torque=""",ROUND(Table1[[#This Row],[motor]]/MAX(Table1[motor]),3),"""/&gt;")</f>
        <v>&lt;torque normRpm="0.429" torque="0.928"/&gt;</v>
      </c>
    </row>
    <row r="4" spans="1:8" x14ac:dyDescent="0.25">
      <c r="A4">
        <v>1000</v>
      </c>
      <c r="B4">
        <v>2800</v>
      </c>
      <c r="C4">
        <f>$A$22*Table1[[#This Row],[rawData]]</f>
        <v>2632</v>
      </c>
      <c r="D4">
        <f t="shared" ref="D4:D18" si="2">A4*C4/9550</f>
        <v>275.60209424083769</v>
      </c>
      <c r="E4">
        <f>Table1[[#This Row],[kw_pto]]*1.36/0.94</f>
        <v>398.74345549738223</v>
      </c>
      <c r="F4">
        <f t="shared" si="1"/>
        <v>2800</v>
      </c>
      <c r="G4" t="str">
        <f>CONCATENATE("&lt;torque rpm=""",Table1[[#This Row],[rpm]],""" motorTorque=""",ROUND(Table1[[#This Row],[motor]],0),"""/&gt;")</f>
        <v>&lt;torque rpm="1000" motorTorque="2800"/&gt;</v>
      </c>
      <c r="H4" s="1" t="str">
        <f>CONCATENATE("&lt;torque normRpm=""",ROUND(Table1[[#This Row],[rpm]]/Table3[ratedRpm],3),""" torque=""",ROUND(Table1[[#This Row],[motor]]/MAX(Table1[motor]),3),"""/&gt;")</f>
        <v>&lt;torque normRpm="0.476" torque="0.952"/&gt;</v>
      </c>
    </row>
    <row r="5" spans="1:8" x14ac:dyDescent="0.25">
      <c r="A5">
        <v>1100</v>
      </c>
      <c r="B5">
        <v>2850</v>
      </c>
      <c r="C5">
        <f>$A$22*Table1[[#This Row],[rawData]]</f>
        <v>2679</v>
      </c>
      <c r="D5">
        <f t="shared" si="2"/>
        <v>308.57591623036649</v>
      </c>
      <c r="E5">
        <f>Table1[[#This Row],[kw_pto]]*1.36/0.94</f>
        <v>446.45026178010477</v>
      </c>
      <c r="F5">
        <f t="shared" si="1"/>
        <v>2850</v>
      </c>
      <c r="G5" t="str">
        <f>CONCATENATE("&lt;torque rpm=""",Table1[[#This Row],[rpm]],""" motorTorque=""",ROUND(Table1[[#This Row],[motor]],0),"""/&gt;")</f>
        <v>&lt;torque rpm="1100" motorTorque="2850"/&gt;</v>
      </c>
      <c r="H5" s="1" t="str">
        <f>CONCATENATE("&lt;torque normRpm=""",ROUND(Table1[[#This Row],[rpm]]/Table3[ratedRpm],3),""" torque=""",ROUND(Table1[[#This Row],[motor]]/MAX(Table1[motor]),3),"""/&gt;")</f>
        <v>&lt;torque normRpm="0.524" torque="0.969"/&gt;</v>
      </c>
    </row>
    <row r="6" spans="1:8" x14ac:dyDescent="0.25">
      <c r="A6">
        <v>1200</v>
      </c>
      <c r="B6">
        <v>2890</v>
      </c>
      <c r="C6">
        <f>$A$22*Table1[[#This Row],[rawData]]</f>
        <v>2716.6</v>
      </c>
      <c r="D6">
        <f t="shared" si="2"/>
        <v>341.35287958115185</v>
      </c>
      <c r="E6">
        <f>Table1[[#This Row],[kw_pto]]*1.36/0.94</f>
        <v>493.87225130890062</v>
      </c>
      <c r="F6">
        <f t="shared" si="1"/>
        <v>2890</v>
      </c>
      <c r="G6" t="str">
        <f>CONCATENATE("&lt;torque rpm=""",Table1[[#This Row],[rpm]],""" motorTorque=""",ROUND(Table1[[#This Row],[motor]],0),"""/&gt;")</f>
        <v>&lt;torque rpm="1200" motorTorque="2890"/&gt;</v>
      </c>
      <c r="H6" s="1" t="str">
        <f>CONCATENATE("&lt;torque normRpm=""",ROUND(Table1[[#This Row],[rpm]]/Table3[ratedRpm],3),""" torque=""",ROUND(Table1[[#This Row],[motor]]/MAX(Table1[motor]),3),"""/&gt;")</f>
        <v>&lt;torque normRpm="0.571" torque="0.983"/&gt;</v>
      </c>
    </row>
    <row r="7" spans="1:8" x14ac:dyDescent="0.25">
      <c r="A7">
        <v>1300</v>
      </c>
      <c r="B7">
        <v>2920</v>
      </c>
      <c r="C7">
        <f>$A$22*Table1[[#This Row],[rawData]]</f>
        <v>2744.7999999999997</v>
      </c>
      <c r="D7">
        <f t="shared" si="2"/>
        <v>373.63769633507849</v>
      </c>
      <c r="E7">
        <f>Table1[[#This Row],[kw_pto]]*1.36/0.94</f>
        <v>540.58219895287959</v>
      </c>
      <c r="F7">
        <f t="shared" si="1"/>
        <v>2920</v>
      </c>
      <c r="G7" t="str">
        <f>CONCATENATE("&lt;torque rpm=""",Table1[[#This Row],[rpm]],""" motorTorque=""",ROUND(Table1[[#This Row],[motor]],0),"""/&gt;")</f>
        <v>&lt;torque rpm="1300" motorTorque="2920"/&gt;</v>
      </c>
      <c r="H7" s="1" t="str">
        <f>CONCATENATE("&lt;torque normRpm=""",ROUND(Table1[[#This Row],[rpm]]/Table3[ratedRpm],3),""" torque=""",ROUND(Table1[[#This Row],[motor]]/MAX(Table1[motor]),3),"""/&gt;")</f>
        <v>&lt;torque normRpm="0.619" torque="0.993"/&gt;</v>
      </c>
    </row>
    <row r="8" spans="1:8" x14ac:dyDescent="0.25">
      <c r="A8">
        <v>1400</v>
      </c>
      <c r="B8">
        <v>2941</v>
      </c>
      <c r="C8">
        <f>$A$22*Table1[[#This Row],[rawData]]</f>
        <v>2764.54</v>
      </c>
      <c r="D8">
        <f t="shared" si="2"/>
        <v>405.27287958115181</v>
      </c>
      <c r="E8">
        <f>Table1[[#This Row],[kw_pto]]*1.36/0.94</f>
        <v>586.35225130890058</v>
      </c>
      <c r="F8">
        <f t="shared" si="1"/>
        <v>2941</v>
      </c>
      <c r="G8" t="str">
        <f>CONCATENATE("&lt;torque rpm=""",Table1[[#This Row],[rpm]],""" motorTorque=""",ROUND(Table1[[#This Row],[motor]],0),"""/&gt;")</f>
        <v>&lt;torque rpm="1400" motorTorque="2941"/&gt;</v>
      </c>
      <c r="H8" s="1" t="str">
        <f>CONCATENATE("&lt;torque normRpm=""",ROUND(Table1[[#This Row],[rpm]]/Table3[ratedRpm],3),""" torque=""",ROUND(Table1[[#This Row],[motor]]/MAX(Table1[motor]),3),"""/&gt;")</f>
        <v>&lt;torque normRpm="0.667" torque="1"/&gt;</v>
      </c>
    </row>
    <row r="9" spans="1:8" x14ac:dyDescent="0.25">
      <c r="A9">
        <v>1500</v>
      </c>
      <c r="B9">
        <v>2900</v>
      </c>
      <c r="C9">
        <f>$A$22*Table1[[#This Row],[rawData]]</f>
        <v>2726</v>
      </c>
      <c r="D9">
        <f t="shared" si="2"/>
        <v>428.16753926701568</v>
      </c>
      <c r="E9">
        <f>Table1[[#This Row],[kw_pto]]*1.36/0.94</f>
        <v>619.47643979057602</v>
      </c>
      <c r="F9">
        <f t="shared" si="1"/>
        <v>2900</v>
      </c>
      <c r="G9" t="str">
        <f>CONCATENATE("&lt;torque rpm=""",Table1[[#This Row],[rpm]],""" motorTorque=""",ROUND(Table1[[#This Row],[motor]],0),"""/&gt;")</f>
        <v>&lt;torque rpm="1500" motorTorque="2900"/&gt;</v>
      </c>
      <c r="H9" s="1" t="str">
        <f>CONCATENATE("&lt;torque normRpm=""",ROUND(Table1[[#This Row],[rpm]]/Table3[ratedRpm],3),""" torque=""",ROUND(Table1[[#This Row],[motor]]/MAX(Table1[motor]),3),"""/&gt;")</f>
        <v>&lt;torque normRpm="0.714" torque="0.986"/&gt;</v>
      </c>
    </row>
    <row r="10" spans="1:8" x14ac:dyDescent="0.25">
      <c r="A10">
        <v>1600</v>
      </c>
      <c r="B10">
        <v>2830</v>
      </c>
      <c r="C10">
        <f>$A$22*Table1[[#This Row],[rawData]]</f>
        <v>2660.2</v>
      </c>
      <c r="D10">
        <f t="shared" si="2"/>
        <v>445.68795811518322</v>
      </c>
      <c r="E10">
        <f>Table1[[#This Row],[kw_pto]]*1.36/0.94</f>
        <v>644.82513089005238</v>
      </c>
      <c r="F10">
        <f t="shared" si="1"/>
        <v>2830</v>
      </c>
      <c r="G10" t="str">
        <f>CONCATENATE("&lt;torque rpm=""",Table1[[#This Row],[rpm]],""" motorTorque=""",ROUND(Table1[[#This Row],[motor]],0),"""/&gt;")</f>
        <v>&lt;torque rpm="1600" motorTorque="2830"/&gt;</v>
      </c>
      <c r="H10" s="1" t="str">
        <f>CONCATENATE("&lt;torque normRpm=""",ROUND(Table1[[#This Row],[rpm]]/Table3[ratedRpm],3),""" torque=""",ROUND(Table1[[#This Row],[motor]]/MAX(Table1[motor]),3),"""/&gt;")</f>
        <v>&lt;torque normRpm="0.762" torque="0.962"/&gt;</v>
      </c>
    </row>
    <row r="11" spans="1:8" x14ac:dyDescent="0.25">
      <c r="A11">
        <v>1700</v>
      </c>
      <c r="B11">
        <v>2740</v>
      </c>
      <c r="C11">
        <f>$A$22*Table1[[#This Row],[rawData]]</f>
        <v>2575.6</v>
      </c>
      <c r="D11">
        <f t="shared" si="2"/>
        <v>458.48376963350785</v>
      </c>
      <c r="E11">
        <f>Table1[[#This Row],[kw_pto]]*1.36/0.94</f>
        <v>663.33821989528803</v>
      </c>
      <c r="F11">
        <f t="shared" si="1"/>
        <v>2740</v>
      </c>
      <c r="G11" t="str">
        <f>CONCATENATE("&lt;torque rpm=""",Table1[[#This Row],[rpm]],""" motorTorque=""",ROUND(Table1[[#This Row],[motor]],0),"""/&gt;")</f>
        <v>&lt;torque rpm="1700" motorTorque="2740"/&gt;</v>
      </c>
      <c r="H11" s="1" t="str">
        <f>CONCATENATE("&lt;torque normRpm=""",ROUND(Table1[[#This Row],[rpm]]/Table3[ratedRpm],3),""" torque=""",ROUND(Table1[[#This Row],[motor]]/MAX(Table1[motor]),3),"""/&gt;")</f>
        <v>&lt;torque normRpm="0.81" torque="0.932"/&gt;</v>
      </c>
    </row>
    <row r="12" spans="1:8" x14ac:dyDescent="0.25">
      <c r="A12">
        <v>1800</v>
      </c>
      <c r="B12">
        <v>2650</v>
      </c>
      <c r="C12">
        <f>$A$22*Table1[[#This Row],[rawData]]</f>
        <v>2491</v>
      </c>
      <c r="D12">
        <f t="shared" si="2"/>
        <v>469.50785340314138</v>
      </c>
      <c r="E12">
        <f>Table1[[#This Row],[kw_pto]]*1.36/0.94</f>
        <v>679.2879581151833</v>
      </c>
      <c r="F12">
        <f t="shared" si="1"/>
        <v>2650</v>
      </c>
      <c r="G12" t="str">
        <f>CONCATENATE("&lt;torque rpm=""",Table1[[#This Row],[rpm]],""" motorTorque=""",ROUND(Table1[[#This Row],[motor]],0),"""/&gt;")</f>
        <v>&lt;torque rpm="1800" motorTorque="2650"/&gt;</v>
      </c>
      <c r="H12" s="1" t="str">
        <f>CONCATENATE("&lt;torque normRpm=""",ROUND(Table1[[#This Row],[rpm]]/Table3[ratedRpm],3),""" torque=""",ROUND(Table1[[#This Row],[motor]]/MAX(Table1[motor]),3),"""/&gt;")</f>
        <v>&lt;torque normRpm="0.857" torque="0.901"/&gt;</v>
      </c>
    </row>
    <row r="13" spans="1:8" x14ac:dyDescent="0.25">
      <c r="A13">
        <v>1900</v>
      </c>
      <c r="B13">
        <f>0.94*Table3[PS]/1.36*9550/Table1[[#This Row],[rpm]]/Table3[Factor]</f>
        <v>2557.5077399380802</v>
      </c>
      <c r="C13">
        <f>$A$22*Table1[[#This Row],[rawData]]</f>
        <v>2404.0572755417952</v>
      </c>
      <c r="D13">
        <f t="shared" si="2"/>
        <v>478.29411764705873</v>
      </c>
      <c r="E13">
        <f>Table1[[#This Row],[kw_pto]]*1.36/0.94</f>
        <v>691.99999999999989</v>
      </c>
      <c r="F13">
        <f t="shared" si="1"/>
        <v>2557.5077399380802</v>
      </c>
      <c r="G13" t="str">
        <f>CONCATENATE("&lt;torque rpm=""",Table1[[#This Row],[rpm]],""" motorTorque=""",ROUND(Table1[[#This Row],[motor]],0),"""/&gt;")</f>
        <v>&lt;torque rpm="1900" motorTorque="2558"/&gt;</v>
      </c>
      <c r="H13" s="1" t="str">
        <f>CONCATENATE("&lt;torque normRpm=""",ROUND(Table1[[#This Row],[rpm]]/Table3[ratedRpm],3),""" torque=""",ROUND(Table1[[#This Row],[motor]]/MAX(Table1[motor]),3),"""/&gt;")</f>
        <v>&lt;torque normRpm="0.905" torque="0.87"/&gt;</v>
      </c>
    </row>
    <row r="14" spans="1:8" x14ac:dyDescent="0.25">
      <c r="A14">
        <v>2000</v>
      </c>
      <c r="B14">
        <f>0.94*Table3[PS]/1.36*9550/Table1[[#This Row],[rpm]]/Table3[Factor]</f>
        <v>2429.6323529411766</v>
      </c>
      <c r="C14">
        <f>$A$22*Table1[[#This Row],[rawData]]</f>
        <v>2283.8544117647057</v>
      </c>
      <c r="D14">
        <f t="shared" si="2"/>
        <v>478.29411764705873</v>
      </c>
      <c r="E14">
        <f>Table1[[#This Row],[kw_pto]]*1.36/0.94</f>
        <v>691.99999999999989</v>
      </c>
      <c r="F14">
        <f t="shared" si="1"/>
        <v>2429.6323529411766</v>
      </c>
      <c r="G14" t="str">
        <f>CONCATENATE("&lt;torque rpm=""",Table1[[#This Row],[rpm]],""" motorTorque=""",ROUND(Table1[[#This Row],[motor]],0),"""/&gt;")</f>
        <v>&lt;torque rpm="2000" motorTorque="2430"/&gt;</v>
      </c>
      <c r="H14" s="1" t="str">
        <f>CONCATENATE("&lt;torque normRpm=""",ROUND(Table1[[#This Row],[rpm]]/Table3[ratedRpm],3),""" torque=""",ROUND(Table1[[#This Row],[motor]]/MAX(Table1[motor]),3),"""/&gt;")</f>
        <v>&lt;torque normRpm="0.952" torque="0.826"/&gt;</v>
      </c>
    </row>
    <row r="15" spans="1:8" x14ac:dyDescent="0.25">
      <c r="A15">
        <v>2100</v>
      </c>
      <c r="B15">
        <f>0.94*Table3[PS]/1.36*9550/Table1[[#This Row],[rpm]]/Table3[Factor]</f>
        <v>2313.9355742296916</v>
      </c>
      <c r="C15">
        <f>$A$22*Table1[[#This Row],[rawData]]</f>
        <v>2175.09943977591</v>
      </c>
      <c r="D15">
        <f t="shared" si="2"/>
        <v>478.29411764705873</v>
      </c>
      <c r="E15">
        <f>Table1[[#This Row],[kw_pto]]*1.36/0.94</f>
        <v>691.99999999999989</v>
      </c>
      <c r="F15">
        <f t="shared" si="1"/>
        <v>2313.9355742296916</v>
      </c>
      <c r="G15" t="str">
        <f>CONCATENATE("&lt;torque rpm=""",Table1[[#This Row],[rpm]],""" motorTorque=""",ROUND(Table1[[#This Row],[motor]],0),"""/&gt;")</f>
        <v>&lt;torque rpm="2100" motorTorque="2314"/&gt;</v>
      </c>
      <c r="H15" s="1" t="str">
        <f>CONCATENATE("&lt;torque normRpm=""",ROUND(Table1[[#This Row],[rpm]]/Table3[ratedRpm],3),""" torque=""",ROUND(Table1[[#This Row],[motor]]/MAX(Table1[motor]),3),"""/&gt;")</f>
        <v>&lt;torque normRpm="1" torque="0.787"/&gt;</v>
      </c>
    </row>
    <row r="16" spans="1:8" x14ac:dyDescent="0.25">
      <c r="A16">
        <v>2200</v>
      </c>
      <c r="B16">
        <v>2000</v>
      </c>
      <c r="C16">
        <f>$A$22*Table1[[#This Row],[rawData]]</f>
        <v>1880</v>
      </c>
      <c r="D16">
        <f t="shared" si="2"/>
        <v>433.08900523560209</v>
      </c>
      <c r="E16">
        <f>Table1[[#This Row],[kw_pto]]*1.36/0.94</f>
        <v>626.59685863874358</v>
      </c>
      <c r="F16">
        <f t="shared" si="1"/>
        <v>2000</v>
      </c>
      <c r="G16" t="str">
        <f>CONCATENATE("&lt;torque rpm=""",Table1[[#This Row],[rpm]],""" motorTorque=""",ROUND(Table1[[#This Row],[motor]],0),"""/&gt;")</f>
        <v>&lt;torque rpm="2200" motorTorque="2000"/&gt;</v>
      </c>
      <c r="H16" s="1" t="str">
        <f>CONCATENATE("&lt;torque normRpm=""",ROUND(Table1[[#This Row],[rpm]]/Table3[ratedRpm],3),""" torque=""",ROUND(Table1[[#This Row],[motor]]/MAX(Table1[motor]),3),"""/&gt;")</f>
        <v>&lt;torque normRpm="1.048" torque="0.68"/&gt;</v>
      </c>
    </row>
    <row r="17" spans="1:8" x14ac:dyDescent="0.25">
      <c r="A17">
        <v>2300</v>
      </c>
      <c r="B17">
        <v>0</v>
      </c>
      <c r="C17">
        <f>$A$22*Table1[[#This Row],[rawData]]</f>
        <v>0</v>
      </c>
      <c r="D17">
        <f t="shared" si="2"/>
        <v>0</v>
      </c>
      <c r="E17">
        <f>Table1[[#This Row],[kw_pto]]*1.36/0.94</f>
        <v>0</v>
      </c>
      <c r="F17">
        <f t="shared" si="1"/>
        <v>0</v>
      </c>
      <c r="G17" t="str">
        <f>CONCATENATE("&lt;torque rpm=""",Table1[[#This Row],[rpm]],""" motorTorque=""",ROUND(Table1[[#This Row],[motor]],0),"""/&gt;")</f>
        <v>&lt;torque rpm="2300" motorTorque="0"/&gt;</v>
      </c>
      <c r="H17" s="1" t="str">
        <f>CONCATENATE("&lt;torque normRpm=""",ROUND(Table1[[#This Row],[rpm]]/Table3[ratedRpm],3),""" torque=""",ROUND(Table1[[#This Row],[motor]]/MAX(Table1[motor]),3),"""/&gt;")</f>
        <v>&lt;torque normRpm="1.095" torque="0"/&gt;</v>
      </c>
    </row>
    <row r="18" spans="1:8" x14ac:dyDescent="0.25">
      <c r="A18">
        <v>2400</v>
      </c>
      <c r="B18">
        <v>0</v>
      </c>
      <c r="C18">
        <f>$A$22*Table1[[#This Row],[rawData]]</f>
        <v>0</v>
      </c>
      <c r="D18">
        <f t="shared" si="2"/>
        <v>0</v>
      </c>
      <c r="E18">
        <f>Table1[[#This Row],[kw_pto]]*1.36/0.94</f>
        <v>0</v>
      </c>
      <c r="F18">
        <f t="shared" si="1"/>
        <v>0</v>
      </c>
      <c r="G18" t="str">
        <f>CONCATENATE("&lt;torque rpm=""",Table1[[#This Row],[rpm]],""" motorTorque=""",ROUND(Table1[[#This Row],[motor]],0),"""/&gt;")</f>
        <v>&lt;torque rpm="2400" motorTorque="0"/&gt;</v>
      </c>
      <c r="H18" s="1" t="str">
        <f>CONCATENATE("&lt;torque normRpm=""",ROUND(Table1[[#This Row],[rpm]]/Table3[ratedRpm],3),""" torque=""",ROUND(Table1[[#This Row],[motor]]/MAX(Table1[motor]),3),"""/&gt;")</f>
        <v>&lt;torque normRpm="1.143" torque="0"/&gt;</v>
      </c>
    </row>
    <row r="19" spans="1:8" x14ac:dyDescent="0.25">
      <c r="A19">
        <v>2500</v>
      </c>
      <c r="B19">
        <v>0</v>
      </c>
      <c r="C19">
        <f>$A$22*Table1[[#This Row],[rawData]]</f>
        <v>0</v>
      </c>
      <c r="D19" s="1">
        <f>A19*C19/9550</f>
        <v>0</v>
      </c>
      <c r="E19" s="1">
        <f>Table1[[#This Row],[kw_pto]]*1.36/0.94</f>
        <v>0</v>
      </c>
      <c r="G19" s="1" t="str">
        <f>CONCATENATE("&lt;torque rpm=""",Table1[[#This Row],[rpm]],""" motorTorque=""",ROUND(Table1[[#This Row],[motor]],0),"""/&gt;")</f>
        <v>&lt;torque rpm="2500" motorTorque="0"/&gt;</v>
      </c>
      <c r="H19" s="1" t="str">
        <f>CONCATENATE("&lt;torque normRpm=""",ROUND(Table1[[#This Row],[rpm]]/Table3[ratedRpm],3),""" torque=""",ROUND(Table1[[#This Row],[motor]]/MAX(Table1[motor]),3),"""/&gt;")</f>
        <v>&lt;torque normRpm="1.19" torque="0"/&gt;</v>
      </c>
    </row>
    <row r="21" spans="1:8" x14ac:dyDescent="0.25">
      <c r="A21" t="s">
        <v>7</v>
      </c>
      <c r="B21" t="s">
        <v>8</v>
      </c>
      <c r="C21" t="s">
        <v>10</v>
      </c>
      <c r="D21" t="s">
        <v>11</v>
      </c>
      <c r="E21" s="2"/>
    </row>
    <row r="22" spans="1:8" x14ac:dyDescent="0.25">
      <c r="A22">
        <f>0.94</f>
        <v>0.94</v>
      </c>
      <c r="B22">
        <v>2100</v>
      </c>
      <c r="C22">
        <v>692</v>
      </c>
      <c r="D22">
        <f>Table3[PS]/1.36*9548/Table3[ratedRpm]</f>
        <v>2313.4509803921569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1"/>
  <sheetViews>
    <sheetView workbookViewId="0">
      <selection activeCell="C1" sqref="C1:C21"/>
    </sheetView>
  </sheetViews>
  <sheetFormatPr defaultRowHeight="15" x14ac:dyDescent="0.25"/>
  <sheetData>
    <row r="1" spans="1:3" x14ac:dyDescent="0.25">
      <c r="A1">
        <v>0</v>
      </c>
      <c r="B1">
        <f>interpolSq(1,2,"",,A1)</f>
        <v>1</v>
      </c>
      <c r="C1">
        <f>interpolSq(1,2,"",3,A1)</f>
        <v>1</v>
      </c>
    </row>
    <row r="2" spans="1:3" x14ac:dyDescent="0.25">
      <c r="A2">
        <v>0.1</v>
      </c>
      <c r="B2">
        <f t="shared" ref="B2:B23" si="0">interpolSq(1,2,"",,A2)</f>
        <v>1.1000000000000001</v>
      </c>
      <c r="C2">
        <f t="shared" ref="C2:C21" si="1">interpolSq(1,2,"",3,A2)</f>
        <v>1.1000000000000001</v>
      </c>
    </row>
    <row r="3" spans="1:3" x14ac:dyDescent="0.25">
      <c r="A3">
        <v>0.2</v>
      </c>
      <c r="B3">
        <f t="shared" si="0"/>
        <v>1.2</v>
      </c>
      <c r="C3">
        <f t="shared" si="1"/>
        <v>1.2</v>
      </c>
    </row>
    <row r="4" spans="1:3" x14ac:dyDescent="0.25">
      <c r="A4">
        <v>0.3</v>
      </c>
      <c r="B4">
        <f t="shared" si="0"/>
        <v>1.3</v>
      </c>
      <c r="C4">
        <f t="shared" si="1"/>
        <v>1.3</v>
      </c>
    </row>
    <row r="5" spans="1:3" x14ac:dyDescent="0.25">
      <c r="A5">
        <v>0.4</v>
      </c>
      <c r="B5">
        <f t="shared" si="0"/>
        <v>1.4</v>
      </c>
      <c r="C5">
        <f t="shared" si="1"/>
        <v>1.4</v>
      </c>
    </row>
    <row r="6" spans="1:3" x14ac:dyDescent="0.25">
      <c r="A6">
        <v>0.5</v>
      </c>
      <c r="B6">
        <f t="shared" si="0"/>
        <v>1.5</v>
      </c>
      <c r="C6">
        <f t="shared" si="1"/>
        <v>1.5</v>
      </c>
    </row>
    <row r="7" spans="1:3" x14ac:dyDescent="0.25">
      <c r="A7">
        <v>0.6</v>
      </c>
      <c r="B7">
        <f t="shared" si="0"/>
        <v>1.6</v>
      </c>
      <c r="C7">
        <f t="shared" si="1"/>
        <v>1.6</v>
      </c>
    </row>
    <row r="8" spans="1:3" x14ac:dyDescent="0.25">
      <c r="A8">
        <v>0.7</v>
      </c>
      <c r="B8">
        <f t="shared" si="0"/>
        <v>1.7</v>
      </c>
      <c r="C8">
        <f t="shared" si="1"/>
        <v>1.7</v>
      </c>
    </row>
    <row r="9" spans="1:3" x14ac:dyDescent="0.25">
      <c r="A9">
        <v>0.8</v>
      </c>
      <c r="B9">
        <f t="shared" si="0"/>
        <v>1.8</v>
      </c>
      <c r="C9">
        <f t="shared" si="1"/>
        <v>1.8</v>
      </c>
    </row>
    <row r="10" spans="1:3" x14ac:dyDescent="0.25">
      <c r="A10">
        <v>0.9</v>
      </c>
      <c r="B10">
        <f t="shared" si="0"/>
        <v>1.9</v>
      </c>
      <c r="C10">
        <f t="shared" si="1"/>
        <v>1.9</v>
      </c>
    </row>
    <row r="11" spans="1:3" x14ac:dyDescent="0.25">
      <c r="A11">
        <v>1</v>
      </c>
      <c r="B11">
        <f t="shared" si="0"/>
        <v>2</v>
      </c>
      <c r="C11">
        <f t="shared" si="1"/>
        <v>2</v>
      </c>
    </row>
    <row r="12" spans="1:3" x14ac:dyDescent="0.25">
      <c r="A12">
        <v>1.1000000000000001</v>
      </c>
      <c r="B12">
        <f t="shared" si="0"/>
        <v>2.1</v>
      </c>
      <c r="C12">
        <f t="shared" si="1"/>
        <v>2.1</v>
      </c>
    </row>
    <row r="13" spans="1:3" x14ac:dyDescent="0.25">
      <c r="A13">
        <v>1.2</v>
      </c>
      <c r="B13">
        <f t="shared" si="0"/>
        <v>2.2000000000000002</v>
      </c>
      <c r="C13">
        <f t="shared" si="1"/>
        <v>2.2000000000000002</v>
      </c>
    </row>
    <row r="14" spans="1:3" x14ac:dyDescent="0.25">
      <c r="A14">
        <v>1.3</v>
      </c>
      <c r="B14">
        <f t="shared" si="0"/>
        <v>2.2999999999999998</v>
      </c>
      <c r="C14">
        <f t="shared" si="1"/>
        <v>2.2999999999999998</v>
      </c>
    </row>
    <row r="15" spans="1:3" x14ac:dyDescent="0.25">
      <c r="A15">
        <v>1.4</v>
      </c>
      <c r="B15">
        <f t="shared" si="0"/>
        <v>2.4</v>
      </c>
      <c r="C15">
        <f t="shared" si="1"/>
        <v>2.4</v>
      </c>
    </row>
    <row r="16" spans="1:3" x14ac:dyDescent="0.25">
      <c r="A16">
        <v>1.5</v>
      </c>
      <c r="B16">
        <f t="shared" si="0"/>
        <v>2.5</v>
      </c>
      <c r="C16">
        <f t="shared" si="1"/>
        <v>2.5</v>
      </c>
    </row>
    <row r="17" spans="1:3" x14ac:dyDescent="0.25">
      <c r="A17">
        <v>1.6</v>
      </c>
      <c r="B17">
        <f t="shared" si="0"/>
        <v>2.6</v>
      </c>
      <c r="C17">
        <f t="shared" si="1"/>
        <v>2.6</v>
      </c>
    </row>
    <row r="18" spans="1:3" x14ac:dyDescent="0.25">
      <c r="A18">
        <v>1.7</v>
      </c>
      <c r="B18">
        <f t="shared" si="0"/>
        <v>2.7</v>
      </c>
      <c r="C18">
        <f t="shared" si="1"/>
        <v>2.7</v>
      </c>
    </row>
    <row r="19" spans="1:3" x14ac:dyDescent="0.25">
      <c r="A19">
        <v>1.8</v>
      </c>
      <c r="B19">
        <f t="shared" si="0"/>
        <v>2.8</v>
      </c>
      <c r="C19">
        <f t="shared" si="1"/>
        <v>2.8</v>
      </c>
    </row>
    <row r="20" spans="1:3" x14ac:dyDescent="0.25">
      <c r="A20">
        <v>1.9</v>
      </c>
      <c r="B20">
        <f t="shared" si="0"/>
        <v>2.9</v>
      </c>
      <c r="C20">
        <f t="shared" si="1"/>
        <v>2.9</v>
      </c>
    </row>
    <row r="21" spans="1:3" x14ac:dyDescent="0.25">
      <c r="A21">
        <v>2</v>
      </c>
      <c r="B21">
        <f t="shared" si="0"/>
        <v>3</v>
      </c>
      <c r="C21">
        <f t="shared" si="1"/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5"/>
  <sheetViews>
    <sheetView tabSelected="1" workbookViewId="0">
      <selection activeCell="H15" sqref="H15"/>
    </sheetView>
  </sheetViews>
  <sheetFormatPr defaultColWidth="9.28515625" defaultRowHeight="15" x14ac:dyDescent="0.25"/>
  <cols>
    <col min="2" max="3" width="11" customWidth="1"/>
  </cols>
  <sheetData>
    <row r="1" spans="1:12" ht="63" thickBot="1" x14ac:dyDescent="0.3">
      <c r="A1" s="38" t="s">
        <v>18</v>
      </c>
      <c r="B1" s="39" t="s">
        <v>23</v>
      </c>
      <c r="C1" s="39" t="s">
        <v>8</v>
      </c>
      <c r="D1" s="39" t="s">
        <v>10</v>
      </c>
      <c r="E1" s="39" t="s">
        <v>22</v>
      </c>
      <c r="F1" s="39" t="s">
        <v>12</v>
      </c>
      <c r="G1" s="40" t="s">
        <v>13</v>
      </c>
      <c r="H1" s="45" t="s">
        <v>14</v>
      </c>
      <c r="I1" s="45" t="s">
        <v>27</v>
      </c>
      <c r="J1" s="45" t="s">
        <v>21</v>
      </c>
      <c r="K1" s="47" t="s">
        <v>19</v>
      </c>
      <c r="L1" s="47" t="s">
        <v>20</v>
      </c>
    </row>
    <row r="2" spans="1:12" x14ac:dyDescent="0.25">
      <c r="A2" s="41">
        <v>1900</v>
      </c>
      <c r="B2" s="42">
        <v>396</v>
      </c>
      <c r="C2" s="43">
        <v>2300</v>
      </c>
      <c r="D2" s="44">
        <v>390</v>
      </c>
      <c r="E2" s="41">
        <v>1450</v>
      </c>
      <c r="F2" s="42">
        <v>1450</v>
      </c>
      <c r="G2" s="42">
        <v>1538</v>
      </c>
      <c r="H2" s="27">
        <v>800</v>
      </c>
      <c r="I2" s="46">
        <v>1.2</v>
      </c>
      <c r="J2">
        <v>300</v>
      </c>
      <c r="K2" s="37">
        <f>Table2[maxPS]/1.36*9550/Table2[maxPRpm]</f>
        <v>1463.5448916408668</v>
      </c>
      <c r="L2" s="37">
        <f>Table2[PS]/1.36*9550/Table2[ratedRpm]</f>
        <v>1190.6969309462916</v>
      </c>
    </row>
    <row r="4" spans="1:12" x14ac:dyDescent="0.25">
      <c r="A4" t="s">
        <v>78</v>
      </c>
      <c r="B4" t="s">
        <v>19</v>
      </c>
      <c r="C4" t="s">
        <v>77</v>
      </c>
      <c r="D4" t="s">
        <v>82</v>
      </c>
      <c r="E4" t="s">
        <v>20</v>
      </c>
      <c r="F4" t="s">
        <v>83</v>
      </c>
    </row>
    <row r="5" spans="1:12" x14ac:dyDescent="0.25">
      <c r="A5">
        <v>0</v>
      </c>
      <c r="B5">
        <v>0</v>
      </c>
      <c r="C5">
        <f>B5*A5/9550</f>
        <v>0</v>
      </c>
      <c r="D5" t="e">
        <f>B5-(A6-A5)/(A5-A4)*(B5-B4)</f>
        <v>#VALUE!</v>
      </c>
      <c r="E5">
        <f t="shared" ref="E5:E10" si="0">B6</f>
        <v>1428.8363171355497</v>
      </c>
      <c r="F5">
        <f t="shared" ref="F5:F11" si="1">B6+(A6-A5)*(B7-B6)/(A7-A6)</f>
        <v>1671.4222790565505</v>
      </c>
    </row>
    <row r="6" spans="1:12" x14ac:dyDescent="0.25">
      <c r="A6">
        <v>1000</v>
      </c>
      <c r="B6">
        <f>Table2[Anfahrmoment]*L2</f>
        <v>1428.8363171355497</v>
      </c>
      <c r="C6">
        <f t="shared" ref="C6:C10" si="2">B6*A6/9550</f>
        <v>149.61636828644501</v>
      </c>
      <c r="D6">
        <f>B6-(A7-A6)*(B6-B5)/(A6-A5)</f>
        <v>785.85997442455243</v>
      </c>
      <c r="E6">
        <f t="shared" si="0"/>
        <v>1538</v>
      </c>
      <c r="F6">
        <v>1538</v>
      </c>
    </row>
    <row r="7" spans="1:12" x14ac:dyDescent="0.25">
      <c r="A7">
        <f>Table2[maxTRpm1]</f>
        <v>1450</v>
      </c>
      <c r="B7">
        <f>Table2[maxT]</f>
        <v>1538</v>
      </c>
      <c r="C7">
        <f t="shared" si="2"/>
        <v>233.51832460732984</v>
      </c>
      <c r="D7">
        <f>B7-(A8-A7)*(B7-B6)/(A7-A6)</f>
        <v>1538</v>
      </c>
      <c r="E7">
        <f t="shared" si="0"/>
        <v>1538</v>
      </c>
      <c r="F7">
        <f t="shared" si="1"/>
        <v>1538</v>
      </c>
    </row>
    <row r="8" spans="1:12" x14ac:dyDescent="0.25">
      <c r="A8">
        <f>Table2[maxTRpm]</f>
        <v>1450</v>
      </c>
      <c r="B8">
        <f>Table2[maxT]</f>
        <v>1538</v>
      </c>
      <c r="C8">
        <f t="shared" si="2"/>
        <v>233.51832460732984</v>
      </c>
      <c r="D8">
        <v>1538</v>
      </c>
      <c r="E8">
        <f t="shared" si="0"/>
        <v>1463.5448916408668</v>
      </c>
      <c r="F8">
        <f t="shared" si="1"/>
        <v>1156.5909358594697</v>
      </c>
    </row>
    <row r="9" spans="1:12" x14ac:dyDescent="0.25">
      <c r="A9">
        <f>Table2[maxPRpm]</f>
        <v>1900</v>
      </c>
      <c r="B9">
        <f>K2</f>
        <v>1463.5448916408668</v>
      </c>
      <c r="C9">
        <f t="shared" si="2"/>
        <v>291.17647058823525</v>
      </c>
      <c r="D9">
        <f t="shared" ref="D8:D11" si="3">B9-(A10-A9)*(B9-B8)/(A9-A8)</f>
        <v>1529.7272101823185</v>
      </c>
      <c r="E9">
        <f t="shared" si="0"/>
        <v>1190.6969309462916</v>
      </c>
      <c r="F9">
        <f t="shared" si="1"/>
        <v>-396.89897698209711</v>
      </c>
    </row>
    <row r="10" spans="1:12" x14ac:dyDescent="0.25">
      <c r="A10">
        <f>Table2[ratedRpm]</f>
        <v>2300</v>
      </c>
      <c r="B10">
        <f>L2</f>
        <v>1190.6969309462916</v>
      </c>
      <c r="C10">
        <f t="shared" si="2"/>
        <v>286.76470588235293</v>
      </c>
      <c r="D10">
        <f t="shared" si="3"/>
        <v>1395.3329014672231</v>
      </c>
      <c r="E10">
        <f t="shared" si="0"/>
        <v>0</v>
      </c>
      <c r="F10">
        <f t="shared" si="1"/>
        <v>0</v>
      </c>
    </row>
    <row r="11" spans="1:12" x14ac:dyDescent="0.25">
      <c r="A11">
        <f>Table2[ratedRpm]+Table2[fadeOut]</f>
        <v>2600</v>
      </c>
      <c r="B11">
        <v>0</v>
      </c>
      <c r="C11">
        <f>B11*A11/9550</f>
        <v>0</v>
      </c>
      <c r="D11">
        <f t="shared" si="3"/>
        <v>-10319.373401534527</v>
      </c>
      <c r="E11" t="s">
        <v>84</v>
      </c>
      <c r="F11" t="e">
        <f t="shared" si="1"/>
        <v>#DIV/0!</v>
      </c>
    </row>
    <row r="14" spans="1:12" x14ac:dyDescent="0.25">
      <c r="A14" t="s">
        <v>78</v>
      </c>
      <c r="B14" t="s">
        <v>79</v>
      </c>
      <c r="C14" t="s">
        <v>80</v>
      </c>
      <c r="D14" t="s">
        <v>50</v>
      </c>
      <c r="E14" t="s">
        <v>81</v>
      </c>
      <c r="F14" t="s">
        <v>19</v>
      </c>
      <c r="G14" t="s">
        <v>10</v>
      </c>
      <c r="H14" t="s">
        <v>20</v>
      </c>
      <c r="I14" t="s">
        <v>83</v>
      </c>
    </row>
    <row r="15" spans="1:12" x14ac:dyDescent="0.25">
      <c r="A15">
        <v>0</v>
      </c>
      <c r="B15">
        <f>MATCH(Table8[[#This Row],[U/min]],Table6[U/min],1)</f>
        <v>1</v>
      </c>
      <c r="C15">
        <f>INDEX(Table6[],Table8[[#This Row],[Row]],1)</f>
        <v>0</v>
      </c>
      <c r="D15">
        <f>INDEX(Table6[],Table8[[#This Row],[Row]]+1,1)</f>
        <v>1000</v>
      </c>
      <c r="E15">
        <f>IF(ISNUMBER(Table8[[#This Row],[t1]]),(Table8[[#This Row],[U/min]]-Table8[[#This Row],[t0]])/(Table8[[#This Row],[t1]]-Table8[[#This Row],[t0]]),0)</f>
        <v>0</v>
      </c>
      <c r="F15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0</v>
      </c>
      <c r="G15" s="1">
        <f>Table8[[#This Row],[Nm2]]*1.36*Table8[[#This Row],[U/min]]/9550</f>
        <v>0</v>
      </c>
      <c r="H15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0</v>
      </c>
      <c r="I15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0</v>
      </c>
    </row>
    <row r="16" spans="1:12" x14ac:dyDescent="0.25">
      <c r="A16">
        <v>50</v>
      </c>
      <c r="B16">
        <f>MATCH(Table8[[#This Row],[U/min]],Table6[U/min],1)</f>
        <v>1</v>
      </c>
      <c r="C16">
        <f>INDEX(Table6[],Table8[[#This Row],[Row]],1)</f>
        <v>0</v>
      </c>
      <c r="D16">
        <f>INDEX(Table6[],Table8[[#This Row],[Row]]+1,1)</f>
        <v>1000</v>
      </c>
      <c r="E16">
        <f>IF(ISNUMBER(Table8[[#This Row],[t1]]),(Table8[[#This Row],[U/min]]-Table8[[#This Row],[t0]])/(Table8[[#This Row],[t1]]-Table8[[#This Row],[t0]]),0)</f>
        <v>0.05</v>
      </c>
      <c r="F16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99.615261793123025</v>
      </c>
      <c r="G16" s="1">
        <f>Table8[[#This Row],[Nm2]]*1.36*Table8[[#This Row],[U/min]]/9550</f>
        <v>0.70930238763689701</v>
      </c>
      <c r="H16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99.615261793123025</v>
      </c>
      <c r="I16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17" spans="1:9" x14ac:dyDescent="0.25">
      <c r="A17">
        <v>100</v>
      </c>
      <c r="B17">
        <f>MATCH(Table8[[#This Row],[U/min]],Table6[U/min],1)</f>
        <v>1</v>
      </c>
      <c r="C17">
        <f>INDEX(Table6[],Table8[[#This Row],[Row]],1)</f>
        <v>0</v>
      </c>
      <c r="D17">
        <f>INDEX(Table6[],Table8[[#This Row],[Row]]+1,1)</f>
        <v>1000</v>
      </c>
      <c r="E17">
        <f>IF(ISNUMBER(Table8[[#This Row],[t1]]),(Table8[[#This Row],[U/min]]-Table8[[#This Row],[t0]])/(Table8[[#This Row],[t1]]-Table8[[#This Row],[t0]]),0)</f>
        <v>0.1</v>
      </c>
      <c r="F17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196.26489769820969</v>
      </c>
      <c r="G17" s="1">
        <f>Table8[[#This Row],[Nm2]]*1.36*Table8[[#This Row],[U/min]]/9550</f>
        <v>2.7949765536080124</v>
      </c>
      <c r="H17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196.26489769820969</v>
      </c>
      <c r="I17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18" spans="1:9" x14ac:dyDescent="0.25">
      <c r="A18">
        <v>150</v>
      </c>
      <c r="B18">
        <f>MATCH(Table8[[#This Row],[U/min]],Table6[U/min],1)</f>
        <v>1</v>
      </c>
      <c r="C18">
        <f>INDEX(Table6[],Table8[[#This Row],[Row]],1)</f>
        <v>0</v>
      </c>
      <c r="D18">
        <f>INDEX(Table6[],Table8[[#This Row],[Row]]+1,1)</f>
        <v>1000</v>
      </c>
      <c r="E18">
        <f>IF(ISNUMBER(Table8[[#This Row],[t1]]),(Table8[[#This Row],[U/min]]-Table8[[#This Row],[t0]])/(Table8[[#This Row],[t1]]-Table8[[#This Row],[t0]]),0)</f>
        <v>0.15</v>
      </c>
      <c r="F18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289.94890771525996</v>
      </c>
      <c r="G18" s="1">
        <f>Table8[[#This Row],[Nm2]]*1.36*Table8[[#This Row],[U/min]]/9550</f>
        <v>6.1936730025039832</v>
      </c>
      <c r="H18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289.94890771525996</v>
      </c>
      <c r="I18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19" spans="1:9" x14ac:dyDescent="0.25">
      <c r="A19">
        <v>200</v>
      </c>
      <c r="B19">
        <f>MATCH(Table8[[#This Row],[U/min]],Table6[U/min],1)</f>
        <v>1</v>
      </c>
      <c r="C19">
        <f>INDEX(Table6[],Table8[[#This Row],[Row]],1)</f>
        <v>0</v>
      </c>
      <c r="D19">
        <f>INDEX(Table6[],Table8[[#This Row],[Row]]+1,1)</f>
        <v>1000</v>
      </c>
      <c r="E19">
        <f>IF(ISNUMBER(Table8[[#This Row],[t1]]),(Table8[[#This Row],[U/min]]-Table8[[#This Row],[t0]])/(Table8[[#This Row],[t1]]-Table8[[#This Row],[t0]]),0)</f>
        <v>0.2</v>
      </c>
      <c r="F19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380.6672918442739</v>
      </c>
      <c r="G19" s="1">
        <f>Table8[[#This Row],[Nm2]]*1.36*Table8[[#This Row],[U/min]]/9550</f>
        <v>10.842042238915447</v>
      </c>
      <c r="H19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380.6672918442739</v>
      </c>
      <c r="I19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20" spans="1:9" x14ac:dyDescent="0.25">
      <c r="A20">
        <v>250</v>
      </c>
      <c r="B20">
        <f>MATCH(Table8[[#This Row],[U/min]],Table6[U/min],1)</f>
        <v>1</v>
      </c>
      <c r="C20">
        <f>INDEX(Table6[],Table8[[#This Row],[Row]],1)</f>
        <v>0</v>
      </c>
      <c r="D20">
        <f>INDEX(Table6[],Table8[[#This Row],[Row]]+1,1)</f>
        <v>1000</v>
      </c>
      <c r="E20">
        <f>IF(ISNUMBER(Table8[[#This Row],[t1]]),(Table8[[#This Row],[U/min]]-Table8[[#This Row],[t0]])/(Table8[[#This Row],[t1]]-Table8[[#This Row],[t0]]),0)</f>
        <v>0.25</v>
      </c>
      <c r="F20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468.42005008525143</v>
      </c>
      <c r="G20" s="1">
        <f>Table8[[#This Row],[Nm2]]*1.36*Table8[[#This Row],[U/min]]/9550</f>
        <v>16.676734767433036</v>
      </c>
      <c r="H20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468.42005008525143</v>
      </c>
      <c r="I20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21" spans="1:9" x14ac:dyDescent="0.25">
      <c r="A21">
        <v>300</v>
      </c>
      <c r="B21">
        <f>MATCH(Table8[[#This Row],[U/min]],Table6[U/min],1)</f>
        <v>1</v>
      </c>
      <c r="C21">
        <f>INDEX(Table6[],Table8[[#This Row],[Row]],1)</f>
        <v>0</v>
      </c>
      <c r="D21">
        <f>INDEX(Table6[],Table8[[#This Row],[Row]]+1,1)</f>
        <v>1000</v>
      </c>
      <c r="E21">
        <f>IF(ISNUMBER(Table8[[#This Row],[t1]]),(Table8[[#This Row],[U/min]]-Table8[[#This Row],[t0]])/(Table8[[#This Row],[t1]]-Table8[[#This Row],[t0]]),0)</f>
        <v>0.3</v>
      </c>
      <c r="F21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553.2071824381926</v>
      </c>
      <c r="G21" s="1">
        <f>Table8[[#This Row],[Nm2]]*1.36*Table8[[#This Row],[U/min]]/9550</f>
        <v>23.634401092647394</v>
      </c>
      <c r="H21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553.2071824381926</v>
      </c>
      <c r="I21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22" spans="1:9" x14ac:dyDescent="0.25">
      <c r="A22">
        <v>350</v>
      </c>
      <c r="B22">
        <f>MATCH(Table8[[#This Row],[U/min]],Table6[U/min],1)</f>
        <v>1</v>
      </c>
      <c r="C22">
        <f>INDEX(Table6[],Table8[[#This Row],[Row]],1)</f>
        <v>0</v>
      </c>
      <c r="D22">
        <f>INDEX(Table6[],Table8[[#This Row],[Row]]+1,1)</f>
        <v>1000</v>
      </c>
      <c r="E22">
        <f>IF(ISNUMBER(Table8[[#This Row],[t1]]),(Table8[[#This Row],[U/min]]-Table8[[#This Row],[t0]])/(Table8[[#This Row],[t1]]-Table8[[#This Row],[t0]]),0)</f>
        <v>0.35</v>
      </c>
      <c r="F22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635.0286889030973</v>
      </c>
      <c r="G22" s="1">
        <f>Table8[[#This Row],[Nm2]]*1.36*Table8[[#This Row],[U/min]]/9550</f>
        <v>31.651691719149149</v>
      </c>
      <c r="H22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635.0286889030973</v>
      </c>
      <c r="I22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23" spans="1:9" x14ac:dyDescent="0.25">
      <c r="A23">
        <v>400</v>
      </c>
      <c r="B23">
        <f>MATCH(Table8[[#This Row],[U/min]],Table6[U/min],1)</f>
        <v>1</v>
      </c>
      <c r="C23">
        <f>INDEX(Table6[],Table8[[#This Row],[Row]],1)</f>
        <v>0</v>
      </c>
      <c r="D23">
        <f>INDEX(Table6[],Table8[[#This Row],[Row]]+1,1)</f>
        <v>1000</v>
      </c>
      <c r="E23">
        <f>IF(ISNUMBER(Table8[[#This Row],[t1]]),(Table8[[#This Row],[U/min]]-Table8[[#This Row],[t0]])/(Table8[[#This Row],[t1]]-Table8[[#This Row],[t0]]),0)</f>
        <v>0.4</v>
      </c>
      <c r="F23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713.88456947996565</v>
      </c>
      <c r="G23" s="1">
        <f>Table8[[#This Row],[Nm2]]*1.36*Table8[[#This Row],[U/min]]/9550</f>
        <v>40.665257151528934</v>
      </c>
      <c r="H23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713.88456947996565</v>
      </c>
      <c r="I23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24" spans="1:9" x14ac:dyDescent="0.25">
      <c r="A24">
        <v>450</v>
      </c>
      <c r="B24">
        <f>MATCH(Table8[[#This Row],[U/min]],Table6[U/min],1)</f>
        <v>1</v>
      </c>
      <c r="C24">
        <f>INDEX(Table6[],Table8[[#This Row],[Row]],1)</f>
        <v>0</v>
      </c>
      <c r="D24">
        <f>INDEX(Table6[],Table8[[#This Row],[Row]]+1,1)</f>
        <v>1000</v>
      </c>
      <c r="E24">
        <f>IF(ISNUMBER(Table8[[#This Row],[t1]]),(Table8[[#This Row],[U/min]]-Table8[[#This Row],[t0]])/(Table8[[#This Row],[t1]]-Table8[[#This Row],[t0]]),0)</f>
        <v>0.45</v>
      </c>
      <c r="F24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789.77482416879786</v>
      </c>
      <c r="G24" s="1">
        <f>Table8[[#This Row],[Nm2]]*1.36*Table8[[#This Row],[U/min]]/9550</f>
        <v>50.611747894377416</v>
      </c>
      <c r="H24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789.77482416879786</v>
      </c>
      <c r="I24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25" spans="1:9" x14ac:dyDescent="0.25">
      <c r="A25">
        <v>500</v>
      </c>
      <c r="B25">
        <f>MATCH(Table8[[#This Row],[U/min]],Table6[U/min],1)</f>
        <v>1</v>
      </c>
      <c r="C25">
        <f>INDEX(Table6[],Table8[[#This Row],[Row]],1)</f>
        <v>0</v>
      </c>
      <c r="D25">
        <f>INDEX(Table6[],Table8[[#This Row],[Row]]+1,1)</f>
        <v>1000</v>
      </c>
      <c r="E25">
        <f>IF(ISNUMBER(Table8[[#This Row],[t1]]),(Table8[[#This Row],[U/min]]-Table8[[#This Row],[t0]])/(Table8[[#This Row],[t1]]-Table8[[#This Row],[t0]]),0)</f>
        <v>0.5</v>
      </c>
      <c r="F25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862.69945296959349</v>
      </c>
      <c r="G25" s="1">
        <f>Table8[[#This Row],[Nm2]]*1.36*Table8[[#This Row],[U/min]]/9550</f>
        <v>61.42781445228519</v>
      </c>
      <c r="H25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862.69945296959349</v>
      </c>
      <c r="I25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26" spans="1:9" x14ac:dyDescent="0.25">
      <c r="A26">
        <v>550</v>
      </c>
      <c r="B26">
        <f>MATCH(Table8[[#This Row],[U/min]],Table6[U/min],1)</f>
        <v>1</v>
      </c>
      <c r="C26">
        <f>INDEX(Table6[],Table8[[#This Row],[Row]],1)</f>
        <v>0</v>
      </c>
      <c r="D26">
        <f>INDEX(Table6[],Table8[[#This Row],[Row]]+1,1)</f>
        <v>1000</v>
      </c>
      <c r="E26">
        <f>IF(ISNUMBER(Table8[[#This Row],[t1]]),(Table8[[#This Row],[U/min]]-Table8[[#This Row],[t0]])/(Table8[[#This Row],[t1]]-Table8[[#This Row],[t0]]),0)</f>
        <v>0.55000000000000004</v>
      </c>
      <c r="F26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932.65845588235288</v>
      </c>
      <c r="G26" s="1">
        <f>Table8[[#This Row],[Nm2]]*1.36*Table8[[#This Row],[U/min]]/9550</f>
        <v>73.05010732984293</v>
      </c>
      <c r="H26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932.65845588235288</v>
      </c>
      <c r="I26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27" spans="1:9" x14ac:dyDescent="0.25">
      <c r="A27">
        <v>600</v>
      </c>
      <c r="B27">
        <f>MATCH(Table8[[#This Row],[U/min]],Table6[U/min],1)</f>
        <v>1</v>
      </c>
      <c r="C27">
        <f>INDEX(Table6[],Table8[[#This Row],[Row]],1)</f>
        <v>0</v>
      </c>
      <c r="D27">
        <f>INDEX(Table6[],Table8[[#This Row],[Row]]+1,1)</f>
        <v>1000</v>
      </c>
      <c r="E27">
        <f>IF(ISNUMBER(Table8[[#This Row],[t1]]),(Table8[[#This Row],[U/min]]-Table8[[#This Row],[t0]])/(Table8[[#This Row],[t1]]-Table8[[#This Row],[t0]]),0)</f>
        <v>0.6</v>
      </c>
      <c r="F27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999.65183290707557</v>
      </c>
      <c r="G27" s="1">
        <f>Table8[[#This Row],[Nm2]]*1.36*Table8[[#This Row],[U/min]]/9550</f>
        <v>85.415277031641239</v>
      </c>
      <c r="H27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999.65183290707557</v>
      </c>
      <c r="I27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28" spans="1:9" x14ac:dyDescent="0.25">
      <c r="A28">
        <v>650</v>
      </c>
      <c r="B28">
        <f>MATCH(Table8[[#This Row],[U/min]],Table6[U/min],1)</f>
        <v>1</v>
      </c>
      <c r="C28">
        <f>INDEX(Table6[],Table8[[#This Row],[Row]],1)</f>
        <v>0</v>
      </c>
      <c r="D28">
        <f>INDEX(Table6[],Table8[[#This Row],[Row]]+1,1)</f>
        <v>1000</v>
      </c>
      <c r="E28">
        <f>IF(ISNUMBER(Table8[[#This Row],[t1]]),(Table8[[#This Row],[U/min]]-Table8[[#This Row],[t0]])/(Table8[[#This Row],[t1]]-Table8[[#This Row],[t0]]),0)</f>
        <v>0.65</v>
      </c>
      <c r="F28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1063.6795840437624</v>
      </c>
      <c r="G28" s="1">
        <f>Table8[[#This Row],[Nm2]]*1.36*Table8[[#This Row],[U/min]]/9550</f>
        <v>98.459974062270788</v>
      </c>
      <c r="H28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1063.6795840437624</v>
      </c>
      <c r="I28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29" spans="1:9" x14ac:dyDescent="0.25">
      <c r="A29">
        <v>700</v>
      </c>
      <c r="B29">
        <f>MATCH(Table8[[#This Row],[U/min]],Table6[U/min],1)</f>
        <v>1</v>
      </c>
      <c r="C29">
        <f>INDEX(Table6[],Table8[[#This Row],[Row]],1)</f>
        <v>0</v>
      </c>
      <c r="D29">
        <f>INDEX(Table6[],Table8[[#This Row],[Row]]+1,1)</f>
        <v>1000</v>
      </c>
      <c r="E29">
        <f>IF(ISNUMBER(Table8[[#This Row],[t1]]),(Table8[[#This Row],[U/min]]-Table8[[#This Row],[t0]])/(Table8[[#This Row],[t1]]-Table8[[#This Row],[t0]]),0)</f>
        <v>0.7</v>
      </c>
      <c r="F29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1124.7417092924125</v>
      </c>
      <c r="G29" s="1">
        <f>Table8[[#This Row],[Nm2]]*1.36*Table8[[#This Row],[U/min]]/9550</f>
        <v>112.12084892632215</v>
      </c>
      <c r="H29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1124.7417092924125</v>
      </c>
      <c r="I29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30" spans="1:9" x14ac:dyDescent="0.25">
      <c r="A30">
        <v>750</v>
      </c>
      <c r="B30">
        <f>MATCH(Table8[[#This Row],[U/min]],Table6[U/min],1)</f>
        <v>1</v>
      </c>
      <c r="C30">
        <f>INDEX(Table6[],Table8[[#This Row],[Row]],1)</f>
        <v>0</v>
      </c>
      <c r="D30">
        <f>INDEX(Table6[],Table8[[#This Row],[Row]]+1,1)</f>
        <v>1000</v>
      </c>
      <c r="E30">
        <f>IF(ISNUMBER(Table8[[#This Row],[t1]]),(Table8[[#This Row],[U/min]]-Table8[[#This Row],[t0]])/(Table8[[#This Row],[t1]]-Table8[[#This Row],[t0]]),0)</f>
        <v>0.75</v>
      </c>
      <c r="F30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1182.8382086530262</v>
      </c>
      <c r="G30" s="1">
        <f>Table8[[#This Row],[Nm2]]*1.36*Table8[[#This Row],[U/min]]/9550</f>
        <v>126.33455212838604</v>
      </c>
      <c r="H30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1182.8382086530262</v>
      </c>
      <c r="I30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31" spans="1:9" x14ac:dyDescent="0.25">
      <c r="A31">
        <v>800</v>
      </c>
      <c r="B31">
        <f>MATCH(Table8[[#This Row],[U/min]],Table6[U/min],1)</f>
        <v>1</v>
      </c>
      <c r="C31">
        <f>INDEX(Table6[],Table8[[#This Row],[Row]],1)</f>
        <v>0</v>
      </c>
      <c r="D31">
        <f>INDEX(Table6[],Table8[[#This Row],[Row]]+1,1)</f>
        <v>1000</v>
      </c>
      <c r="E31">
        <f>IF(ISNUMBER(Table8[[#This Row],[t1]]),(Table8[[#This Row],[U/min]]-Table8[[#This Row],[t0]])/(Table8[[#This Row],[t1]]-Table8[[#This Row],[t0]]),0)</f>
        <v>0.8</v>
      </c>
      <c r="F31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1237.9690821256038</v>
      </c>
      <c r="G31" s="1">
        <f>Table8[[#This Row],[Nm2]]*1.36*Table8[[#This Row],[U/min]]/9550</f>
        <v>141.03773417305308</v>
      </c>
      <c r="H31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1237.9690821256038</v>
      </c>
      <c r="I31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32" spans="1:9" x14ac:dyDescent="0.25">
      <c r="A32">
        <v>850</v>
      </c>
      <c r="B32">
        <f>MATCH(Table8[[#This Row],[U/min]],Table6[U/min],1)</f>
        <v>1</v>
      </c>
      <c r="C32">
        <f>INDEX(Table6[],Table8[[#This Row],[Row]],1)</f>
        <v>0</v>
      </c>
      <c r="D32">
        <f>INDEX(Table6[],Table8[[#This Row],[Row]]+1,1)</f>
        <v>1000</v>
      </c>
      <c r="E32">
        <f>IF(ISNUMBER(Table8[[#This Row],[t1]]),(Table8[[#This Row],[U/min]]-Table8[[#This Row],[t0]])/(Table8[[#This Row],[t1]]-Table8[[#This Row],[t0]]),0)</f>
        <v>0.85</v>
      </c>
      <c r="F32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1290.1343297101448</v>
      </c>
      <c r="G32" s="1">
        <f>Table8[[#This Row],[Nm2]]*1.36*Table8[[#This Row],[U/min]]/9550</f>
        <v>156.16704556491391</v>
      </c>
      <c r="H32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1290.1343297101448</v>
      </c>
      <c r="I32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33" spans="1:9" x14ac:dyDescent="0.25">
      <c r="A33">
        <v>900</v>
      </c>
      <c r="B33">
        <f>MATCH(Table8[[#This Row],[U/min]],Table6[U/min],1)</f>
        <v>1</v>
      </c>
      <c r="C33">
        <f>INDEX(Table6[],Table8[[#This Row],[Row]],1)</f>
        <v>0</v>
      </c>
      <c r="D33">
        <f>INDEX(Table6[],Table8[[#This Row],[Row]]+1,1)</f>
        <v>1000</v>
      </c>
      <c r="E33">
        <f>IF(ISNUMBER(Table8[[#This Row],[t1]]),(Table8[[#This Row],[U/min]]-Table8[[#This Row],[t0]])/(Table8[[#This Row],[t1]]-Table8[[#This Row],[t0]]),0)</f>
        <v>0.9</v>
      </c>
      <c r="F33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1339.3339514066495</v>
      </c>
      <c r="G33" s="1">
        <f>Table8[[#This Row],[Nm2]]*1.36*Table8[[#This Row],[U/min]]/9550</f>
        <v>171.65913680855905</v>
      </c>
      <c r="H33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1339.3339514066495</v>
      </c>
      <c r="I33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34" spans="1:9" x14ac:dyDescent="0.25">
      <c r="A34">
        <v>950</v>
      </c>
      <c r="B34">
        <f>MATCH(Table8[[#This Row],[U/min]],Table6[U/min],1)</f>
        <v>1</v>
      </c>
      <c r="C34">
        <f>INDEX(Table6[],Table8[[#This Row],[Row]],1)</f>
        <v>0</v>
      </c>
      <c r="D34">
        <f>INDEX(Table6[],Table8[[#This Row],[Row]]+1,1)</f>
        <v>1000</v>
      </c>
      <c r="E34">
        <f>IF(ISNUMBER(Table8[[#This Row],[t1]]),(Table8[[#This Row],[U/min]]-Table8[[#This Row],[t0]])/(Table8[[#This Row],[t1]]-Table8[[#This Row],[t0]]),0)</f>
        <v>0.95</v>
      </c>
      <c r="F34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1385.5679472151178</v>
      </c>
      <c r="G34" s="1">
        <f>Table8[[#This Row],[Nm2]]*1.36*Table8[[#This Row],[U/min]]/9550</f>
        <v>187.4506584085793</v>
      </c>
      <c r="H34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1385.5679472151178</v>
      </c>
      <c r="I34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35" spans="1:9" x14ac:dyDescent="0.25">
      <c r="A35">
        <v>1000</v>
      </c>
      <c r="B35">
        <f>MATCH(Table8[[#This Row],[U/min]],Table6[U/min],1)</f>
        <v>2</v>
      </c>
      <c r="C35">
        <f>INDEX(Table6[],Table8[[#This Row],[Row]],1)</f>
        <v>1000</v>
      </c>
      <c r="D35">
        <f>INDEX(Table6[],Table8[[#This Row],[Row]]+1,1)</f>
        <v>1450</v>
      </c>
      <c r="E35">
        <f>IF(ISNUMBER(Table8[[#This Row],[t1]]),(Table8[[#This Row],[U/min]]-Table8[[#This Row],[t0]])/(Table8[[#This Row],[t1]]-Table8[[#This Row],[t0]]),0)</f>
        <v>0</v>
      </c>
      <c r="F35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1428.8363171355497</v>
      </c>
      <c r="G35" s="1">
        <f>Table8[[#This Row],[Nm2]]*1.36*Table8[[#This Row],[U/min]]/9550</f>
        <v>203.47826086956519</v>
      </c>
      <c r="H35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1428.8363171355497</v>
      </c>
      <c r="I35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36" spans="1:9" x14ac:dyDescent="0.25">
      <c r="A36">
        <v>1050</v>
      </c>
      <c r="B36">
        <f>MATCH(Table8[[#This Row],[U/min]],Table6[U/min],1)</f>
        <v>2</v>
      </c>
      <c r="C36">
        <f>INDEX(Table6[],Table8[[#This Row],[Row]],1)</f>
        <v>1000</v>
      </c>
      <c r="D36">
        <f>INDEX(Table6[],Table8[[#This Row],[Row]]+1,1)</f>
        <v>1450</v>
      </c>
      <c r="E36">
        <f>IF(ISNUMBER(Table8[[#This Row],[t1]]),(Table8[[#This Row],[U/min]]-Table8[[#This Row],[t0]])/(Table8[[#This Row],[t1]]-Table8[[#This Row],[t0]]),0)</f>
        <v>0.1111111111111111</v>
      </c>
      <c r="F36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1464.9966986973711</v>
      </c>
      <c r="G36" s="1">
        <f>Table8[[#This Row],[Nm2]]*1.36*Table8[[#This Row],[U/min]]/9550</f>
        <v>219.05919222406766</v>
      </c>
      <c r="H36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1464.9966986973711</v>
      </c>
      <c r="I36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37" spans="1:9" x14ac:dyDescent="0.25">
      <c r="A37">
        <v>1100</v>
      </c>
      <c r="B37">
        <f>MATCH(Table8[[#This Row],[U/min]],Table6[U/min],1)</f>
        <v>2</v>
      </c>
      <c r="C37">
        <f>INDEX(Table6[],Table8[[#This Row],[Row]],1)</f>
        <v>1000</v>
      </c>
      <c r="D37">
        <f>INDEX(Table6[],Table8[[#This Row],[Row]]+1,1)</f>
        <v>1450</v>
      </c>
      <c r="E37">
        <f>IF(ISNUMBER(Table8[[#This Row],[t1]]),(Table8[[#This Row],[U/min]]-Table8[[#This Row],[t0]])/(Table8[[#This Row],[t1]]-Table8[[#This Row],[t0]]),0)</f>
        <v>0.22222222222222221</v>
      </c>
      <c r="F37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1491.071747199506</v>
      </c>
      <c r="G37" s="1">
        <f>Table8[[#This Row],[Nm2]]*1.36*Table8[[#This Row],[U/min]]/9550</f>
        <v>233.57521820004828</v>
      </c>
      <c r="H37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1491.071747199506</v>
      </c>
      <c r="I37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38" spans="1:9" x14ac:dyDescent="0.25">
      <c r="A38">
        <v>1150</v>
      </c>
      <c r="B38">
        <f>MATCH(Table8[[#This Row],[U/min]],Table6[U/min],1)</f>
        <v>2</v>
      </c>
      <c r="C38">
        <f>INDEX(Table6[],Table8[[#This Row],[Row]],1)</f>
        <v>1000</v>
      </c>
      <c r="D38">
        <f>INDEX(Table6[],Table8[[#This Row],[Row]]+1,1)</f>
        <v>1450</v>
      </c>
      <c r="E38">
        <f>IF(ISNUMBER(Table8[[#This Row],[t1]]),(Table8[[#This Row],[U/min]]-Table8[[#This Row],[t0]])/(Table8[[#This Row],[t1]]-Table8[[#This Row],[t0]]),0)</f>
        <v>0.33333333333333331</v>
      </c>
      <c r="F38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1508.8089892962016</v>
      </c>
      <c r="G38" s="1">
        <f>Table8[[#This Row],[Nm2]]*1.36*Table8[[#This Row],[U/min]]/9550</f>
        <v>247.09709521039366</v>
      </c>
      <c r="H38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1508.8089892962016</v>
      </c>
      <c r="I38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39" spans="1:9" x14ac:dyDescent="0.25">
      <c r="A39">
        <v>1200</v>
      </c>
      <c r="B39">
        <f>MATCH(Table8[[#This Row],[U/min]],Table6[U/min],1)</f>
        <v>2</v>
      </c>
      <c r="C39">
        <f>INDEX(Table6[],Table8[[#This Row],[Row]],1)</f>
        <v>1000</v>
      </c>
      <c r="D39">
        <f>INDEX(Table6[],Table8[[#This Row],[Row]]+1,1)</f>
        <v>1450</v>
      </c>
      <c r="E39">
        <f>IF(ISNUMBER(Table8[[#This Row],[t1]]),(Table8[[#This Row],[U/min]]-Table8[[#This Row],[t0]])/(Table8[[#This Row],[t1]]-Table8[[#This Row],[t0]]),0)</f>
        <v>0.44444444444444442</v>
      </c>
      <c r="F39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1519.955951641705</v>
      </c>
      <c r="G39" s="1">
        <f>Table8[[#This Row],[Nm2]]*1.36*Table8[[#This Row],[U/min]]/9550</f>
        <v>259.74535215489664</v>
      </c>
      <c r="H39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1519.955951641705</v>
      </c>
      <c r="I39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40" spans="1:9" x14ac:dyDescent="0.25">
      <c r="A40">
        <v>1250</v>
      </c>
      <c r="B40">
        <f>MATCH(Table8[[#This Row],[U/min]],Table6[U/min],1)</f>
        <v>2</v>
      </c>
      <c r="C40">
        <f>INDEX(Table6[],Table8[[#This Row],[Row]],1)</f>
        <v>1000</v>
      </c>
      <c r="D40">
        <f>INDEX(Table6[],Table8[[#This Row],[Row]]+1,1)</f>
        <v>1450</v>
      </c>
      <c r="E40">
        <f>IF(ISNUMBER(Table8[[#This Row],[t1]]),(Table8[[#This Row],[U/min]]-Table8[[#This Row],[t0]])/(Table8[[#This Row],[t1]]-Table8[[#This Row],[t0]]),0)</f>
        <v>0.55555555555555558</v>
      </c>
      <c r="F40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1526.2601608902642</v>
      </c>
      <c r="G40" s="1">
        <f>Table8[[#This Row],[Nm2]]*1.36*Table8[[#This Row],[U/min]]/9550</f>
        <v>271.69029042025642</v>
      </c>
      <c r="H40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1526.2601608902642</v>
      </c>
      <c r="I40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41" spans="1:9" x14ac:dyDescent="0.25">
      <c r="A41">
        <v>1300</v>
      </c>
      <c r="B41">
        <f>MATCH(Table8[[#This Row],[U/min]],Table6[U/min],1)</f>
        <v>2</v>
      </c>
      <c r="C41">
        <f>INDEX(Table6[],Table8[[#This Row],[Row]],1)</f>
        <v>1000</v>
      </c>
      <c r="D41">
        <f>INDEX(Table6[],Table8[[#This Row],[Row]]+1,1)</f>
        <v>1450</v>
      </c>
      <c r="E41">
        <f>IF(ISNUMBER(Table8[[#This Row],[t1]]),(Table8[[#This Row],[U/min]]-Table8[[#This Row],[t0]])/(Table8[[#This Row],[t1]]-Table8[[#This Row],[t0]]),0)</f>
        <v>0.66666666666666663</v>
      </c>
      <c r="F41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1529.4691436961259</v>
      </c>
      <c r="G41" s="1">
        <f>Table8[[#This Row],[Nm2]]*1.36*Table8[[#This Row],[U/min]]/9550</f>
        <v>283.1519838800786</v>
      </c>
      <c r="H41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1529.4691436961259</v>
      </c>
      <c r="I41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42" spans="1:9" x14ac:dyDescent="0.25">
      <c r="A42">
        <v>1350</v>
      </c>
      <c r="B42">
        <f>MATCH(Table8[[#This Row],[U/min]],Table6[U/min],1)</f>
        <v>2</v>
      </c>
      <c r="C42">
        <f>INDEX(Table6[],Table8[[#This Row],[Row]],1)</f>
        <v>1000</v>
      </c>
      <c r="D42">
        <f>INDEX(Table6[],Table8[[#This Row],[Row]]+1,1)</f>
        <v>1450</v>
      </c>
      <c r="E42">
        <f>IF(ISNUMBER(Table8[[#This Row],[t1]]),(Table8[[#This Row],[U/min]]-Table8[[#This Row],[t0]])/(Table8[[#This Row],[t1]]-Table8[[#This Row],[t0]]),0)</f>
        <v>0.77777777777777779</v>
      </c>
      <c r="F42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1531.3304267135375</v>
      </c>
      <c r="G42" s="1">
        <f>Table8[[#This Row],[Nm2]]*1.36*Table8[[#This Row],[U/min]]/9550</f>
        <v>294.40027889487487</v>
      </c>
      <c r="H42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1531.3304267135375</v>
      </c>
      <c r="I42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43" spans="1:9" x14ac:dyDescent="0.25">
      <c r="A43">
        <v>1400</v>
      </c>
      <c r="B43">
        <f>MATCH(Table8[[#This Row],[U/min]],Table6[U/min],1)</f>
        <v>2</v>
      </c>
      <c r="C43">
        <f>INDEX(Table6[],Table8[[#This Row],[Row]],1)</f>
        <v>1000</v>
      </c>
      <c r="D43">
        <f>INDEX(Table6[],Table8[[#This Row],[Row]]+1,1)</f>
        <v>1450</v>
      </c>
      <c r="E43">
        <f>IF(ISNUMBER(Table8[[#This Row],[t1]]),(Table8[[#This Row],[U/min]]-Table8[[#This Row],[t0]])/(Table8[[#This Row],[t1]]-Table8[[#This Row],[t0]]),0)</f>
        <v>0.88888888888888884</v>
      </c>
      <c r="F43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1533.5915365967464</v>
      </c>
      <c r="G43" s="1">
        <f>Table8[[#This Row],[Nm2]]*1.36*Table8[[#This Row],[U/min]]/9550</f>
        <v>305.75479431206338</v>
      </c>
      <c r="H43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1533.5915365967464</v>
      </c>
      <c r="I43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44" spans="1:9" x14ac:dyDescent="0.25">
      <c r="A44">
        <v>1450</v>
      </c>
      <c r="B44">
        <f>MATCH(Table8[[#This Row],[U/min]],Table6[U/min],1)</f>
        <v>4</v>
      </c>
      <c r="C44">
        <f>INDEX(Table6[],Table8[[#This Row],[Row]],1)</f>
        <v>1450</v>
      </c>
      <c r="D44">
        <f>INDEX(Table6[],Table8[[#This Row],[Row]]+1,1)</f>
        <v>1900</v>
      </c>
      <c r="E44">
        <f>IF(ISNUMBER(Table8[[#This Row],[t1]]),(Table8[[#This Row],[U/min]]-Table8[[#This Row],[t0]])/(Table8[[#This Row],[t1]]-Table8[[#This Row],[t0]]),0)</f>
        <v>0</v>
      </c>
      <c r="F44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1538</v>
      </c>
      <c r="G44" s="1">
        <f>Table8[[#This Row],[Nm2]]*1.36*Table8[[#This Row],[U/min]]/9550</f>
        <v>317.58492146596865</v>
      </c>
      <c r="H44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1538</v>
      </c>
      <c r="I44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45" spans="1:9" x14ac:dyDescent="0.25">
      <c r="A45">
        <v>1500</v>
      </c>
      <c r="B45">
        <f>MATCH(Table8[[#This Row],[U/min]],Table6[U/min],1)</f>
        <v>4</v>
      </c>
      <c r="C45">
        <f>INDEX(Table6[],Table8[[#This Row],[Row]],1)</f>
        <v>1450</v>
      </c>
      <c r="D45">
        <f>INDEX(Table6[],Table8[[#This Row],[Row]]+1,1)</f>
        <v>1900</v>
      </c>
      <c r="E45">
        <f>IF(ISNUMBER(Table8[[#This Row],[t1]]),(Table8[[#This Row],[U/min]]-Table8[[#This Row],[t0]])/(Table8[[#This Row],[t1]]-Table8[[#This Row],[t0]]),0)</f>
        <v>0.1111111111111111</v>
      </c>
      <c r="F45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1534.2711866667921</v>
      </c>
      <c r="G45" s="1">
        <f>Table8[[#This Row],[Nm2]]*1.36*Table8[[#This Row],[U/min]]/9550</f>
        <v>327.73960427227809</v>
      </c>
      <c r="H45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1534.2711866667921</v>
      </c>
      <c r="I45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46" spans="1:9" x14ac:dyDescent="0.25">
      <c r="A46">
        <v>1550</v>
      </c>
      <c r="B46">
        <f>MATCH(Table8[[#This Row],[U/min]],Table6[U/min],1)</f>
        <v>4</v>
      </c>
      <c r="C46">
        <f>INDEX(Table6[],Table8[[#This Row],[Row]],1)</f>
        <v>1450</v>
      </c>
      <c r="D46">
        <f>INDEX(Table6[],Table8[[#This Row],[Row]]+1,1)</f>
        <v>1900</v>
      </c>
      <c r="E46">
        <f>IF(ISNUMBER(Table8[[#This Row],[t1]]),(Table8[[#This Row],[U/min]]-Table8[[#This Row],[t0]])/(Table8[[#This Row],[t1]]-Table8[[#This Row],[t0]]),0)</f>
        <v>0.22222222222222221</v>
      </c>
      <c r="F46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1530.9239459798762</v>
      </c>
      <c r="G46" s="1">
        <f>Table8[[#This Row],[Nm2]]*1.36*Table8[[#This Row],[U/min]]/9550</f>
        <v>337.92541132205014</v>
      </c>
      <c r="H46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1530.9239459798762</v>
      </c>
      <c r="I46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47" spans="1:9" x14ac:dyDescent="0.25">
      <c r="A47">
        <v>1600</v>
      </c>
      <c r="B47">
        <f>MATCH(Table8[[#This Row],[U/min]],Table6[U/min],1)</f>
        <v>4</v>
      </c>
      <c r="C47">
        <f>INDEX(Table6[],Table8[[#This Row],[Row]],1)</f>
        <v>1450</v>
      </c>
      <c r="D47">
        <f>INDEX(Table6[],Table8[[#This Row],[Row]]+1,1)</f>
        <v>1900</v>
      </c>
      <c r="E47">
        <f>IF(ISNUMBER(Table8[[#This Row],[t1]]),(Table8[[#This Row],[U/min]]-Table8[[#This Row],[t0]])/(Table8[[#This Row],[t1]]-Table8[[#This Row],[t0]]),0)</f>
        <v>0.33333333333333331</v>
      </c>
      <c r="F47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1527.3078921817901</v>
      </c>
      <c r="G47" s="1">
        <f>Table8[[#This Row],[Nm2]]*1.36*Table8[[#This Row],[U/min]]/9550</f>
        <v>348.00230087828015</v>
      </c>
      <c r="H47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1527.3078921817901</v>
      </c>
      <c r="I47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48" spans="1:9" x14ac:dyDescent="0.25">
      <c r="A48">
        <v>1650</v>
      </c>
      <c r="B48">
        <f>MATCH(Table8[[#This Row],[U/min]],Table6[U/min],1)</f>
        <v>4</v>
      </c>
      <c r="C48">
        <f>INDEX(Table6[],Table8[[#This Row],[Row]],1)</f>
        <v>1450</v>
      </c>
      <c r="D48">
        <f>INDEX(Table6[],Table8[[#This Row],[Row]]+1,1)</f>
        <v>1900</v>
      </c>
      <c r="E48">
        <f>IF(ISNUMBER(Table8[[#This Row],[t1]]),(Table8[[#This Row],[U/min]]-Table8[[#This Row],[t0]])/(Table8[[#This Row],[t1]]-Table8[[#This Row],[t0]]),0)</f>
        <v>0.44444444444444442</v>
      </c>
      <c r="F48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1522.772639515073</v>
      </c>
      <c r="G48" s="1">
        <f>Table8[[#This Row],[Nm2]]*1.36*Table8[[#This Row],[U/min]]/9550</f>
        <v>357.81170712793971</v>
      </c>
      <c r="H48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1522.772639515073</v>
      </c>
      <c r="I48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49" spans="1:9" x14ac:dyDescent="0.25">
      <c r="A49">
        <v>1700</v>
      </c>
      <c r="B49">
        <f>MATCH(Table8[[#This Row],[U/min]],Table6[U/min],1)</f>
        <v>4</v>
      </c>
      <c r="C49">
        <f>INDEX(Table6[],Table8[[#This Row],[Row]],1)</f>
        <v>1450</v>
      </c>
      <c r="D49">
        <f>INDEX(Table6[],Table8[[#This Row],[Row]]+1,1)</f>
        <v>1900</v>
      </c>
      <c r="E49">
        <f>IF(ISNUMBER(Table8[[#This Row],[t1]]),(Table8[[#This Row],[U/min]]-Table8[[#This Row],[t0]])/(Table8[[#This Row],[t1]]-Table8[[#This Row],[t0]]),0)</f>
        <v>0.55555555555555558</v>
      </c>
      <c r="F49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1516.6678022222629</v>
      </c>
      <c r="G49" s="1">
        <f>Table8[[#This Row],[Nm2]]*1.36*Table8[[#This Row],[U/min]]/9550</f>
        <v>367.17654018197612</v>
      </c>
      <c r="H49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1516.6678022222629</v>
      </c>
      <c r="I49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50" spans="1:9" x14ac:dyDescent="0.25">
      <c r="A50">
        <v>1750</v>
      </c>
      <c r="B50">
        <f>MATCH(Table8[[#This Row],[U/min]],Table6[U/min],1)</f>
        <v>4</v>
      </c>
      <c r="C50">
        <f>INDEX(Table6[],Table8[[#This Row],[Row]],1)</f>
        <v>1450</v>
      </c>
      <c r="D50">
        <f>INDEX(Table6[],Table8[[#This Row],[Row]]+1,1)</f>
        <v>1900</v>
      </c>
      <c r="E50">
        <f>IF(ISNUMBER(Table8[[#This Row],[t1]]),(Table8[[#This Row],[U/min]]-Table8[[#This Row],[t0]])/(Table8[[#This Row],[t1]]-Table8[[#This Row],[t0]]),0)</f>
        <v>0.66666666666666663</v>
      </c>
      <c r="F50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1508.3429945458988</v>
      </c>
      <c r="G50" s="1">
        <f>Table8[[#This Row],[Nm2]]*1.36*Table8[[#This Row],[U/min]]/9550</f>
        <v>375.90118607531303</v>
      </c>
      <c r="H50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1508.3429945458988</v>
      </c>
      <c r="I50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51" spans="1:9" x14ac:dyDescent="0.25">
      <c r="A51">
        <v>1800</v>
      </c>
      <c r="B51">
        <f>MATCH(Table8[[#This Row],[U/min]],Table6[U/min],1)</f>
        <v>4</v>
      </c>
      <c r="C51">
        <f>INDEX(Table6[],Table8[[#This Row],[Row]],1)</f>
        <v>1450</v>
      </c>
      <c r="D51">
        <f>INDEX(Table6[],Table8[[#This Row],[Row]]+1,1)</f>
        <v>1900</v>
      </c>
      <c r="E51">
        <f>IF(ISNUMBER(Table8[[#This Row],[t1]]),(Table8[[#This Row],[U/min]]-Table8[[#This Row],[t0]])/(Table8[[#This Row],[t1]]-Table8[[#This Row],[t0]]),0)</f>
        <v>0.77777777777777779</v>
      </c>
      <c r="F51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1497.147830728519</v>
      </c>
      <c r="G51" s="1">
        <f>Table8[[#This Row],[Nm2]]*1.36*Table8[[#This Row],[U/min]]/9550</f>
        <v>383.77150676684971</v>
      </c>
      <c r="H51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1497.147830728519</v>
      </c>
      <c r="I51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1538</v>
      </c>
    </row>
    <row r="52" spans="1:9" x14ac:dyDescent="0.25">
      <c r="A52">
        <v>1850</v>
      </c>
      <c r="B52">
        <f>MATCH(Table8[[#This Row],[U/min]],Table6[U/min],1)</f>
        <v>4</v>
      </c>
      <c r="C52">
        <f>INDEX(Table6[],Table8[[#This Row],[Row]],1)</f>
        <v>1450</v>
      </c>
      <c r="D52">
        <f>INDEX(Table6[],Table8[[#This Row],[Row]]+1,1)</f>
        <v>1900</v>
      </c>
      <c r="E52">
        <f>IF(ISNUMBER(Table8[[#This Row],[t1]]),(Table8[[#This Row],[U/min]]-Table8[[#This Row],[t0]])/(Table8[[#This Row],[t1]]-Table8[[#This Row],[t0]]),0)</f>
        <v>0.88888888888888884</v>
      </c>
      <c r="F52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1482.4319250126621</v>
      </c>
      <c r="G52" s="1">
        <f>Table8[[#This Row],[Nm2]]*1.36*Table8[[#This Row],[U/min]]/9550</f>
        <v>390.55484013946159</v>
      </c>
      <c r="H52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1482.4319250126621</v>
      </c>
      <c r="I52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1503.1001589825119</v>
      </c>
    </row>
    <row r="53" spans="1:9" x14ac:dyDescent="0.25">
      <c r="A53">
        <v>1900</v>
      </c>
      <c r="B53">
        <f>MATCH(Table8[[#This Row],[U/min]],Table6[U/min],1)</f>
        <v>5</v>
      </c>
      <c r="C53">
        <f>INDEX(Table6[],Table8[[#This Row],[Row]],1)</f>
        <v>1900</v>
      </c>
      <c r="D53">
        <f>INDEX(Table6[],Table8[[#This Row],[Row]]+1,1)</f>
        <v>2300</v>
      </c>
      <c r="E53">
        <f>IF(ISNUMBER(Table8[[#This Row],[t1]]),(Table8[[#This Row],[U/min]]-Table8[[#This Row],[t0]])/(Table8[[#This Row],[t1]]-Table8[[#This Row],[t0]]),0)</f>
        <v>0</v>
      </c>
      <c r="F53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1463.5448916408668</v>
      </c>
      <c r="G53" s="1">
        <f>Table8[[#This Row],[Nm2]]*1.36*Table8[[#This Row],[U/min]]/9550</f>
        <v>396</v>
      </c>
      <c r="H53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1463.5448916408668</v>
      </c>
      <c r="I53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1463.5448916408668</v>
      </c>
    </row>
    <row r="54" spans="1:9" x14ac:dyDescent="0.25">
      <c r="A54">
        <v>1950</v>
      </c>
      <c r="B54">
        <f>MATCH(Table8[[#This Row],[U/min]],Table6[U/min],1)</f>
        <v>5</v>
      </c>
      <c r="C54">
        <f>INDEX(Table6[],Table8[[#This Row],[Row]],1)</f>
        <v>1900</v>
      </c>
      <c r="D54">
        <f>INDEX(Table6[],Table8[[#This Row],[Row]]+1,1)</f>
        <v>2300</v>
      </c>
      <c r="E54">
        <f>IF(ISNUMBER(Table8[[#This Row],[t1]]),(Table8[[#This Row],[U/min]]-Table8[[#This Row],[t0]])/(Table8[[#This Row],[t1]]-Table8[[#This Row],[t0]]),0)</f>
        <v>0.125</v>
      </c>
      <c r="F54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1448.3157052416814</v>
      </c>
      <c r="G54" s="1">
        <f>Table8[[#This Row],[Nm2]]*1.36*Table8[[#This Row],[U/min]]/9550</f>
        <v>396.949942791762</v>
      </c>
      <c r="H54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1429.438896554045</v>
      </c>
      <c r="I54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1429.438896554045</v>
      </c>
    </row>
    <row r="55" spans="1:9" x14ac:dyDescent="0.25">
      <c r="A55">
        <v>2000</v>
      </c>
      <c r="B55">
        <f>MATCH(Table8[[#This Row],[U/min]],Table6[U/min],1)</f>
        <v>5</v>
      </c>
      <c r="C55">
        <f>INDEX(Table6[],Table8[[#This Row],[Row]],1)</f>
        <v>1900</v>
      </c>
      <c r="D55">
        <f>INDEX(Table6[],Table8[[#This Row],[Row]]+1,1)</f>
        <v>2300</v>
      </c>
      <c r="E55">
        <f>IF(ISNUMBER(Table8[[#This Row],[t1]]),(Table8[[#This Row],[U/min]]-Table8[[#This Row],[t0]])/(Table8[[#This Row],[t1]]-Table8[[#This Row],[t0]]),0)</f>
        <v>0.25</v>
      </c>
      <c r="F55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1440.6784844444069</v>
      </c>
      <c r="G55" s="1">
        <f>Table8[[#This Row],[Nm2]]*1.36*Table8[[#This Row],[U/min]]/9550</f>
        <v>397.41418764302063</v>
      </c>
      <c r="H55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1395.3329014672231</v>
      </c>
      <c r="I55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1395.3329014672231</v>
      </c>
    </row>
    <row r="56" spans="1:9" x14ac:dyDescent="0.25">
      <c r="A56">
        <v>2050</v>
      </c>
      <c r="B56">
        <f>MATCH(Table8[[#This Row],[U/min]],Table6[U/min],1)</f>
        <v>5</v>
      </c>
      <c r="C56">
        <f>INDEX(Table6[],Table8[[#This Row],[Row]],1)</f>
        <v>1900</v>
      </c>
      <c r="D56">
        <f>INDEX(Table6[],Table8[[#This Row],[Row]]+1,1)</f>
        <v>2300</v>
      </c>
      <c r="E56">
        <f>IF(ISNUMBER(Table8[[#This Row],[t1]]),(Table8[[#This Row],[U/min]]-Table8[[#This Row],[t0]])/(Table8[[#This Row],[t1]]-Table8[[#This Row],[t0]]),0)</f>
        <v>0.375</v>
      </c>
      <c r="F56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1434.1405594927116</v>
      </c>
      <c r="G56" s="1">
        <f>Table8[[#This Row],[Nm2]]*1.36*Table8[[#This Row],[U/min]]/9550</f>
        <v>397.39273455377577</v>
      </c>
      <c r="H56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1361.226906380401</v>
      </c>
      <c r="I56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1361.226906380401</v>
      </c>
    </row>
    <row r="57" spans="1:9" x14ac:dyDescent="0.25">
      <c r="A57">
        <v>2100</v>
      </c>
      <c r="B57">
        <f>MATCH(Table8[[#This Row],[U/min]],Table6[U/min],1)</f>
        <v>5</v>
      </c>
      <c r="C57">
        <f>INDEX(Table6[],Table8[[#This Row],[Row]],1)</f>
        <v>1900</v>
      </c>
      <c r="D57">
        <f>INDEX(Table6[],Table8[[#This Row],[Row]]+1,1)</f>
        <v>2300</v>
      </c>
      <c r="E57">
        <f>IF(AND(ISNUMBER(Table8[[#This Row],[t1]]),Table8[[#This Row],[t1]]&gt;Table8[[#This Row],[t0]]),(Table8[[#This Row],[U/min]]-Table8[[#This Row],[t0]])/(Table8[[#This Row],[t1]]-Table8[[#This Row],[t0]]),0)</f>
        <v>0.5</v>
      </c>
      <c r="F57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1422.2092606302626</v>
      </c>
      <c r="G57" s="1">
        <f>Table8[[#This Row],[Nm2]]*1.36*Table8[[#This Row],[U/min]]/9550</f>
        <v>396.88558352402748</v>
      </c>
      <c r="H57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1327.1209112935792</v>
      </c>
      <c r="I57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1327.1209112935792</v>
      </c>
    </row>
    <row r="58" spans="1:9" x14ac:dyDescent="0.25">
      <c r="A58">
        <v>2150</v>
      </c>
      <c r="B58">
        <f>MATCH(Table8[[#This Row],[U/min]],Table6[U/min],1)</f>
        <v>5</v>
      </c>
      <c r="C58">
        <f>INDEX(Table6[],Table8[[#This Row],[Row]],1)</f>
        <v>1900</v>
      </c>
      <c r="D58">
        <f>INDEX(Table6[],Table8[[#This Row],[Row]]+1,1)</f>
        <v>2300</v>
      </c>
      <c r="E58">
        <f>IF(ISNUMBER(Table8[[#This Row],[t1]]),(Table8[[#This Row],[U/min]]-Table8[[#This Row],[t0]])/(Table8[[#This Row],[t1]]-Table8[[#This Row],[t0]]),0)</f>
        <v>0.625</v>
      </c>
      <c r="F58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1398.3919181007284</v>
      </c>
      <c r="G58" s="1">
        <f>Table8[[#This Row],[Nm2]]*1.36*Table8[[#This Row],[U/min]]/9550</f>
        <v>395.89273455377577</v>
      </c>
      <c r="H58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1293.0149162067573</v>
      </c>
      <c r="I58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1293.0149162067573</v>
      </c>
    </row>
    <row r="59" spans="1:9" x14ac:dyDescent="0.25">
      <c r="A59">
        <v>2200</v>
      </c>
      <c r="B59">
        <f>MATCH(Table8[[#This Row],[U/min]],Table6[U/min],1)</f>
        <v>5</v>
      </c>
      <c r="C59">
        <f>INDEX(Table6[],Table8[[#This Row],[Row]],1)</f>
        <v>1900</v>
      </c>
      <c r="D59">
        <f>INDEX(Table6[],Table8[[#This Row],[Row]]+1,1)</f>
        <v>2300</v>
      </c>
      <c r="E59">
        <f>IF(ISNUMBER(Table8[[#This Row],[t1]]),(Table8[[#This Row],[U/min]]-Table8[[#This Row],[t0]])/(Table8[[#This Row],[t1]]-Table8[[#This Row],[t0]]),0)</f>
        <v>0.75</v>
      </c>
      <c r="F59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1356.1958621477766</v>
      </c>
      <c r="G59" s="1">
        <f>Table8[[#This Row],[Nm2]]*1.36*Table8[[#This Row],[U/min]]/9550</f>
        <v>394.41418764302057</v>
      </c>
      <c r="H59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1258.9089211199353</v>
      </c>
      <c r="I59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1258.9089211199353</v>
      </c>
    </row>
    <row r="60" spans="1:9" x14ac:dyDescent="0.25">
      <c r="A60">
        <v>2250</v>
      </c>
      <c r="B60">
        <f>MATCH(Table8[[#This Row],[U/min]],Table6[U/min],1)</f>
        <v>5</v>
      </c>
      <c r="C60">
        <f>INDEX(Table6[],Table8[[#This Row],[Row]],1)</f>
        <v>1900</v>
      </c>
      <c r="D60">
        <f>INDEX(Table6[],Table8[[#This Row],[Row]]+1,1)</f>
        <v>2300</v>
      </c>
      <c r="E60">
        <f>IF(ISNUMBER(Table8[[#This Row],[t1]]),(Table8[[#This Row],[U/min]]-Table8[[#This Row],[t0]])/(Table8[[#This Row],[t1]]-Table8[[#This Row],[t0]]),0)</f>
        <v>0.875</v>
      </c>
      <c r="F60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1289.1284230150752</v>
      </c>
      <c r="G60" s="1">
        <f>Table8[[#This Row],[Nm2]]*1.36*Table8[[#This Row],[U/min]]/9550</f>
        <v>392.449942791762</v>
      </c>
      <c r="H60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1224.8029260331134</v>
      </c>
      <c r="I60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1224.8029260331134</v>
      </c>
    </row>
    <row r="61" spans="1:9" x14ac:dyDescent="0.25">
      <c r="A61">
        <v>2300</v>
      </c>
      <c r="B61">
        <f>MATCH(Table8[[#This Row],[U/min]],Table6[U/min],1)</f>
        <v>6</v>
      </c>
      <c r="C61">
        <f>INDEX(Table6[],Table8[[#This Row],[Row]],1)</f>
        <v>2300</v>
      </c>
      <c r="D61">
        <f>INDEX(Table6[],Table8[[#This Row],[Row]]+1,1)</f>
        <v>2600</v>
      </c>
      <c r="E61">
        <f>IF(ISNUMBER(Table8[[#This Row],[t1]]),(Table8[[#This Row],[U/min]]-Table8[[#This Row],[t0]])/(Table8[[#This Row],[t1]]-Table8[[#This Row],[t0]]),0)</f>
        <v>0</v>
      </c>
      <c r="F61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1190.6969309462916</v>
      </c>
      <c r="G61" s="1">
        <f>Table8[[#This Row],[Nm2]]*1.36*Table8[[#This Row],[U/min]]/9550</f>
        <v>390.00000000000006</v>
      </c>
      <c r="H61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1190.6969309462916</v>
      </c>
      <c r="I61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1190.6969309462916</v>
      </c>
    </row>
    <row r="62" spans="1:9" x14ac:dyDescent="0.25">
      <c r="A62">
        <v>2350</v>
      </c>
      <c r="B62">
        <f>MATCH(Table8[[#This Row],[U/min]],Table6[U/min],1)</f>
        <v>6</v>
      </c>
      <c r="C62">
        <f>INDEX(Table6[],Table8[[#This Row],[Row]],1)</f>
        <v>2300</v>
      </c>
      <c r="D62">
        <f>INDEX(Table6[],Table8[[#This Row],[Row]]+1,1)</f>
        <v>2600</v>
      </c>
      <c r="E62">
        <f>IF(ISNUMBER(Table8[[#This Row],[t1]]),(Table8[[#This Row],[U/min]]-Table8[[#This Row],[t0]])/(Table8[[#This Row],[t1]]-Table8[[#This Row],[t0]]),0)</f>
        <v>0.16666666666666666</v>
      </c>
      <c r="F62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992.247442455243</v>
      </c>
      <c r="G62" s="1">
        <f>Table8[[#This Row],[Nm2]]*1.36*Table8[[#This Row],[U/min]]/9550</f>
        <v>346.55012474574119</v>
      </c>
      <c r="H62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1035.5299409642766</v>
      </c>
      <c r="I62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1091.4721867007672</v>
      </c>
    </row>
    <row r="63" spans="1:9" x14ac:dyDescent="0.25">
      <c r="A63">
        <v>2400</v>
      </c>
      <c r="B63">
        <f>MATCH(Table8[[#This Row],[U/min]],Table6[U/min],1)</f>
        <v>6</v>
      </c>
      <c r="C63">
        <f>INDEX(Table6[],Table8[[#This Row],[Row]],1)</f>
        <v>2300</v>
      </c>
      <c r="D63">
        <f>INDEX(Table6[],Table8[[#This Row],[Row]]+1,1)</f>
        <v>2600</v>
      </c>
      <c r="E63">
        <f>IF(ISNUMBER(Table8[[#This Row],[t1]]),(Table8[[#This Row],[U/min]]-Table8[[#This Row],[t0]])/(Table8[[#This Row],[t1]]-Table8[[#This Row],[t0]]),0)</f>
        <v>0.33333333333333331</v>
      </c>
      <c r="F63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793.79795396419433</v>
      </c>
      <c r="G63" s="1">
        <f>Table8[[#This Row],[Nm2]]*1.36*Table8[[#This Row],[U/min]]/9550</f>
        <v>281.19603356216629</v>
      </c>
      <c r="H63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822.73962025695096</v>
      </c>
      <c r="I63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992.247442455243</v>
      </c>
    </row>
    <row r="64" spans="1:9" x14ac:dyDescent="0.25">
      <c r="A64">
        <v>2450</v>
      </c>
      <c r="B64">
        <f>MATCH(Table8[[#This Row],[U/min]],Table6[U/min],1)</f>
        <v>6</v>
      </c>
      <c r="C64">
        <f>INDEX(Table6[],Table8[[#This Row],[Row]],1)</f>
        <v>2300</v>
      </c>
      <c r="D64">
        <f>INDEX(Table6[],Table8[[#This Row],[Row]]+1,1)</f>
        <v>2600</v>
      </c>
      <c r="E64">
        <f>IF(ISNUMBER(Table8[[#This Row],[t1]]),(Table8[[#This Row],[U/min]]-Table8[[#This Row],[t0]])/(Table8[[#This Row],[t1]]-Table8[[#This Row],[t0]]),0)</f>
        <v>0.5</v>
      </c>
      <c r="F64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595.34846547314578</v>
      </c>
      <c r="G64" s="1">
        <f>Table8[[#This Row],[Nm2]]*1.36*Table8[[#This Row],[U/min]]/9550</f>
        <v>203.25504147597258</v>
      </c>
      <c r="H64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582.55871731558761</v>
      </c>
      <c r="I64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893.02269820971867</v>
      </c>
    </row>
    <row r="65" spans="1:9" x14ac:dyDescent="0.25">
      <c r="A65">
        <v>2500</v>
      </c>
      <c r="B65">
        <f>MATCH(Table8[[#This Row],[U/min]],Table6[U/min],1)</f>
        <v>6</v>
      </c>
      <c r="C65">
        <f>INDEX(Table6[],Table8[[#This Row],[Row]],1)</f>
        <v>2300</v>
      </c>
      <c r="D65">
        <f>INDEX(Table6[],Table8[[#This Row],[Row]]+1,1)</f>
        <v>2600</v>
      </c>
      <c r="E65">
        <f>IF(ISNUMBER(Table8[[#This Row],[t1]]),(Table8[[#This Row],[U/min]]-Table8[[#This Row],[t0]])/(Table8[[#This Row],[t1]]-Table8[[#This Row],[t0]]),0)</f>
        <v>0.66666666666666663</v>
      </c>
      <c r="F65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396.89897698209717</v>
      </c>
      <c r="G65" s="1">
        <f>Table8[[#This Row],[Nm2]]*1.36*Table8[[#This Row],[U/min]]/9550</f>
        <v>122.90554284261384</v>
      </c>
      <c r="H65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345.21998063145941</v>
      </c>
      <c r="I65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793.79795396419433</v>
      </c>
    </row>
    <row r="66" spans="1:9" x14ac:dyDescent="0.25">
      <c r="A66">
        <v>2550</v>
      </c>
      <c r="B66">
        <f>MATCH(Table8[[#This Row],[U/min]],Table6[U/min],1)</f>
        <v>6</v>
      </c>
      <c r="C66">
        <f>INDEX(Table6[],Table8[[#This Row],[Row]],1)</f>
        <v>2300</v>
      </c>
      <c r="D66">
        <f>INDEX(Table6[],Table8[[#This Row],[Row]]+1,1)</f>
        <v>2600</v>
      </c>
      <c r="E66">
        <f>IF(ISNUMBER(Table8[[#This Row],[t1]]),(Table8[[#This Row],[U/min]]-Table8[[#This Row],[t0]])/(Table8[[#This Row],[t1]]-Table8[[#This Row],[t0]]),0)</f>
        <v>0.83333333333333337</v>
      </c>
      <c r="F66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198.44948849104858</v>
      </c>
      <c r="G66" s="1">
        <f>Table8[[#This Row],[Nm2]]*1.36*Table8[[#This Row],[U/min]]/9550</f>
        <v>51.187011346300501</v>
      </c>
      <c r="H66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140.95615869583904</v>
      </c>
      <c r="I66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694.57320971867011</v>
      </c>
    </row>
    <row r="67" spans="1:9" x14ac:dyDescent="0.25">
      <c r="A67">
        <v>2600</v>
      </c>
      <c r="B67">
        <f>MATCH(Table8[[#This Row],[U/min]],Table6[U/min],1)</f>
        <v>7</v>
      </c>
      <c r="C67">
        <f>INDEX(Table6[],Table8[[#This Row],[Row]],1)</f>
        <v>2600</v>
      </c>
      <c r="D67" t="e">
        <f>INDEX(Table6[],Table8[[#This Row],[Row]]+1,1)</f>
        <v>#REF!</v>
      </c>
      <c r="E67">
        <f>IF(ISNUMBER(Table8[[#This Row],[t1]]),(Table8[[#This Row],[U/min]]-Table8[[#This Row],[t0]])/(Table8[[#This Row],[t1]]-Table8[[#This Row],[t0]]),0)</f>
        <v>0</v>
      </c>
      <c r="F67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0</v>
      </c>
      <c r="G67" s="1">
        <f>Table8[[#This Row],[Nm2]]*1.36*Table8[[#This Row],[U/min]]/9550</f>
        <v>0</v>
      </c>
      <c r="H67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0</v>
      </c>
      <c r="I67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595.34846547314578</v>
      </c>
    </row>
    <row r="68" spans="1:9" x14ac:dyDescent="0.25">
      <c r="A68">
        <v>2650</v>
      </c>
      <c r="B68">
        <f>MATCH(Table8[[#This Row],[U/min]],Table6[U/min],1)</f>
        <v>7</v>
      </c>
      <c r="C68">
        <f>INDEX(Table6[],Table8[[#This Row],[Row]],1)</f>
        <v>2600</v>
      </c>
      <c r="D68" t="e">
        <f>INDEX(Table6[],Table8[[#This Row],[Row]]+1,1)</f>
        <v>#REF!</v>
      </c>
      <c r="E68">
        <f>IF(ISNUMBER(Table8[[#This Row],[t1]]),(Table8[[#This Row],[U/min]]-Table8[[#This Row],[t0]])/(Table8[[#This Row],[t1]]-Table8[[#This Row],[t0]]),0)</f>
        <v>0</v>
      </c>
      <c r="F68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0</v>
      </c>
      <c r="G68" s="1">
        <f>Table8[[#This Row],[Nm2]]*1.36*Table8[[#This Row],[U/min]]/9550</f>
        <v>0</v>
      </c>
      <c r="H68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0</v>
      </c>
      <c r="I68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496.1237212276215</v>
      </c>
    </row>
    <row r="69" spans="1:9" x14ac:dyDescent="0.25">
      <c r="A69">
        <v>2700</v>
      </c>
      <c r="B69">
        <f>MATCH(Table8[[#This Row],[U/min]],Table6[U/min],1)</f>
        <v>7</v>
      </c>
      <c r="C69">
        <f>INDEX(Table6[],Table8[[#This Row],[Row]],1)</f>
        <v>2600</v>
      </c>
      <c r="D69" t="e">
        <f>INDEX(Table6[],Table8[[#This Row],[Row]]+1,1)</f>
        <v>#REF!</v>
      </c>
      <c r="E69">
        <f>IF(ISNUMBER(Table8[[#This Row],[t1]]),(Table8[[#This Row],[U/min]]-Table8[[#This Row],[t0]])/(Table8[[#This Row],[t1]]-Table8[[#This Row],[t0]]),0)</f>
        <v>0</v>
      </c>
      <c r="F69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0</v>
      </c>
      <c r="G69" s="1">
        <f>Table8[[#This Row],[Nm2]]*1.36*Table8[[#This Row],[U/min]]/9550</f>
        <v>0</v>
      </c>
      <c r="H69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0</v>
      </c>
      <c r="I69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396.89897698209717</v>
      </c>
    </row>
    <row r="70" spans="1:9" x14ac:dyDescent="0.25">
      <c r="A70">
        <v>2750</v>
      </c>
      <c r="B70">
        <f>MATCH(Table8[[#This Row],[U/min]],Table6[U/min],1)</f>
        <v>7</v>
      </c>
      <c r="C70">
        <f>INDEX(Table6[],Table8[[#This Row],[Row]],1)</f>
        <v>2600</v>
      </c>
      <c r="D70" t="e">
        <f>INDEX(Table6[],Table8[[#This Row],[Row]]+1,1)</f>
        <v>#REF!</v>
      </c>
      <c r="E70">
        <f>IF(ISNUMBER(Table8[[#This Row],[t1]]),(Table8[[#This Row],[U/min]]-Table8[[#This Row],[t0]])/(Table8[[#This Row],[t1]]-Table8[[#This Row],[t0]]),0)</f>
        <v>0</v>
      </c>
      <c r="F70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0</v>
      </c>
      <c r="G70" s="1">
        <f>Table8[[#This Row],[Nm2]]*1.36*Table8[[#This Row],[U/min]]/9550</f>
        <v>0</v>
      </c>
      <c r="H70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0</v>
      </c>
      <c r="I70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297.67423273657289</v>
      </c>
    </row>
    <row r="71" spans="1:9" x14ac:dyDescent="0.25">
      <c r="A71">
        <v>2800</v>
      </c>
      <c r="B71">
        <f>MATCH(Table8[[#This Row],[U/min]],Table6[U/min],1)</f>
        <v>7</v>
      </c>
      <c r="C71">
        <f>INDEX(Table6[],Table8[[#This Row],[Row]],1)</f>
        <v>2600</v>
      </c>
      <c r="D71" t="e">
        <f>INDEX(Table6[],Table8[[#This Row],[Row]]+1,1)</f>
        <v>#REF!</v>
      </c>
      <c r="E71">
        <f>IF(ISNUMBER(Table8[[#This Row],[t1]]),(Table8[[#This Row],[U/min]]-Table8[[#This Row],[t0]])/(Table8[[#This Row],[t1]]-Table8[[#This Row],[t0]]),0)</f>
        <v>0</v>
      </c>
      <c r="F71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0</v>
      </c>
      <c r="G71" s="1">
        <f>Table8[[#This Row],[Nm2]]*1.36*Table8[[#This Row],[U/min]]/9550</f>
        <v>0</v>
      </c>
      <c r="H71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0</v>
      </c>
      <c r="I71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198.44948849104858</v>
      </c>
    </row>
    <row r="72" spans="1:9" x14ac:dyDescent="0.25">
      <c r="A72">
        <v>2850</v>
      </c>
      <c r="B72">
        <f>MATCH(Table8[[#This Row],[U/min]],Table6[U/min],1)</f>
        <v>7</v>
      </c>
      <c r="C72">
        <f>INDEX(Table6[],Table8[[#This Row],[Row]],1)</f>
        <v>2600</v>
      </c>
      <c r="D72" t="e">
        <f>INDEX(Table6[],Table8[[#This Row],[Row]]+1,1)</f>
        <v>#REF!</v>
      </c>
      <c r="E72">
        <f>IF(ISNUMBER(Table8[[#This Row],[t1]]),(Table8[[#This Row],[U/min]]-Table8[[#This Row],[t0]])/(Table8[[#This Row],[t1]]-Table8[[#This Row],[t0]]),0)</f>
        <v>0</v>
      </c>
      <c r="F72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0</v>
      </c>
      <c r="G72" s="1">
        <f>Table8[[#This Row],[Nm2]]*1.36*Table8[[#This Row],[U/min]]/9550</f>
        <v>0</v>
      </c>
      <c r="H72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0</v>
      </c>
      <c r="I72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99.224744245524292</v>
      </c>
    </row>
    <row r="73" spans="1:9" x14ac:dyDescent="0.25">
      <c r="A73">
        <v>2900</v>
      </c>
      <c r="B73">
        <f>MATCH(Table8[[#This Row],[U/min]],Table6[U/min],1)</f>
        <v>7</v>
      </c>
      <c r="C73">
        <f>INDEX(Table6[],Table8[[#This Row],[Row]],1)</f>
        <v>2600</v>
      </c>
      <c r="D73" t="e">
        <f>INDEX(Table6[],Table8[[#This Row],[Row]]+1,1)</f>
        <v>#REF!</v>
      </c>
      <c r="E73">
        <f>IF(ISNUMBER(Table8[[#This Row],[t1]]),(Table8[[#This Row],[U/min]]-Table8[[#This Row],[t0]])/(Table8[[#This Row],[t1]]-Table8[[#This Row],[t0]]),0)</f>
        <v>0</v>
      </c>
      <c r="F73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0</v>
      </c>
      <c r="G73" s="1">
        <f>Table8[[#This Row],[Nm2]]*1.36*Table8[[#This Row],[U/min]]/9550</f>
        <v>0</v>
      </c>
      <c r="H73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0</v>
      </c>
      <c r="I73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0</v>
      </c>
    </row>
    <row r="74" spans="1:9" x14ac:dyDescent="0.25">
      <c r="A74">
        <v>2950</v>
      </c>
      <c r="B74">
        <f>MATCH(Table8[[#This Row],[U/min]],Table6[U/min],1)</f>
        <v>7</v>
      </c>
      <c r="C74">
        <f>INDEX(Table6[],Table8[[#This Row],[Row]],1)</f>
        <v>2600</v>
      </c>
      <c r="D74" t="e">
        <f>INDEX(Table6[],Table8[[#This Row],[Row]]+1,1)</f>
        <v>#REF!</v>
      </c>
      <c r="E74">
        <f>IF(ISNUMBER(Table8[[#This Row],[t1]]),(Table8[[#This Row],[U/min]]-Table8[[#This Row],[t0]])/(Table8[[#This Row],[t1]]-Table8[[#This Row],[t0]]),0)</f>
        <v>0</v>
      </c>
      <c r="F74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0</v>
      </c>
      <c r="G74" s="1">
        <f>Table8[[#This Row],[Nm2]]*1.36*Table8[[#This Row],[U/min]]/9550</f>
        <v>0</v>
      </c>
      <c r="H74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0</v>
      </c>
      <c r="I74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-99.224744245524292</v>
      </c>
    </row>
    <row r="75" spans="1:9" x14ac:dyDescent="0.25">
      <c r="A75">
        <v>3000</v>
      </c>
      <c r="B75">
        <f>MATCH(Table8[[#This Row],[U/min]],Table6[U/min],1)</f>
        <v>7</v>
      </c>
      <c r="C75">
        <f>INDEX(Table6[],Table8[[#This Row],[Row]],1)</f>
        <v>2600</v>
      </c>
      <c r="D75" t="e">
        <f>INDEX(Table6[],Table8[[#This Row],[Row]]+1,1)</f>
        <v>#REF!</v>
      </c>
      <c r="E75">
        <f>IF(ISNUMBER(Table8[[#This Row],[t1]]),(Table8[[#This Row],[U/min]]-Table8[[#This Row],[t0]])/(Table8[[#This Row],[t1]]-Table8[[#This Row],[t0]]),0)</f>
        <v>0</v>
      </c>
      <c r="F75" s="1">
        <f>IF( Table8[[#This Row],[U/min]]&lt;= Table2[ratedRpm],MIN(interpolSq(INDEX(Table6[],Table8[[#This Row],[Row]],2),INDEX(Table6[],Table8[[#This Row],[Row]],5),INDEX(Table6[],Table8[[#This Row],[Row]],4),INDEX(Table6[],Table8[[#This Row],[Row]],6),Table8[[#This Row],[alpha]]),Table2[maxT]), IF(Table8[[#This Row],[U/min]]&lt;Table2[ratedRpm]+Table2[fadeOut],(Table2[ratedRpm]+Table2[fadeOut]-Table8[[#This Row],[U/min]])/Table2[fadeOut]*Table2[Nm2],0))</f>
        <v>0</v>
      </c>
      <c r="G75" s="1">
        <f>Table8[[#This Row],[Nm2]]*1.36*Table8[[#This Row],[U/min]]/9550</f>
        <v>0</v>
      </c>
      <c r="H75" s="1">
        <f>MAX(0,MIN(interpolSq(INDEX(Table6[],Table8[[#This Row],[Row]],2),INDEX(Table6[],Table8[[#This Row],[Row]],5),INDEX(Table6[],Table8[[#This Row],[Row]],4),INDEX(Table6[],Table8[[#This Row],[Row]],6),Table8[[#This Row],[alpha]]),Table8[[#This Row],[Nm3]]))</f>
        <v>0</v>
      </c>
      <c r="I75" s="1">
        <f>IF(Table8[[#This Row],[U/min]]&lt;=0,0,IF(Table8[[#This Row],[U/min]]&lt;Table2[maxPRpm],MIN(Table2[maxT],Table2[maxPS]*9550/(1.36*Table8[[#This Row],[U/min]])),IF(Table8[[#This Row],[U/min]]&lt;Table2[ratedRpm],Table2[Nm]+(Table2[Nm2]-Table2[Nm])*(Table8[[#This Row],[U/min]]-Table2[maxPRpm])/(Table2[ratedRpm]-Table2[maxPRpm]),IF(Table2[fadeOut]&gt;0,0.5*(Table2[ratedRpm]+Table2[fadeOut]+Table2[fadeOut]-Table8[[#This Row],[U/min]])/Table2[fadeOut]*Table2[Nm2],Table2[Nm2]))))</f>
        <v>-198.44948849104858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Calculate from Values</vt:lpstr>
      <vt:lpstr>Sheet1</vt:lpstr>
      <vt:lpstr>Sheet3</vt:lpstr>
      <vt:lpstr>Sheet2</vt:lpstr>
    </vt:vector>
  </TitlesOfParts>
  <Company>SAP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Biedenstein, Stefan</dc:creator>
  <cp:lastModifiedBy>Biedenstein, Stefan</cp:lastModifiedBy>
  <dcterms:created xsi:type="dcterms:W3CDTF">2015-02-21T09:03:51Z</dcterms:created>
  <dcterms:modified xsi:type="dcterms:W3CDTF">2016-07-27T12:00:54Z</dcterms:modified>
</cp:coreProperties>
</file>